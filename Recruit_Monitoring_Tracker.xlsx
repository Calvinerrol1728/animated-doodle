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 name="ADD Registration Form"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7">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
      <name val="Calibri"/>
      <b val="1"/>
      <color rgb="00FFFFFF"/>
      <sz val="15"/>
    </font>
    <font>
      <name val="Calibri"/>
      <i val="1"/>
      <color rgb="00E2E8F0"/>
      <sz val="9.5"/>
    </font>
    <font>
      <name val="Calibri"/>
      <b val="1"/>
      <color rgb="00334155"/>
      <sz val="9"/>
    </font>
    <font>
      <name val="Calibri"/>
      <i val="1"/>
      <color rgb="0064748B"/>
      <sz val="8"/>
    </font>
    <font>
      <name val="Calibri"/>
      <color rgb="000F172A"/>
      <sz val="9.5"/>
    </font>
    <font>
      <name val="Calibri"/>
      <b val="1"/>
      <color rgb="001E3A8A"/>
      <sz val="9.5"/>
    </font>
  </fonts>
  <fills count="20">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
      <patternFill patternType="solid">
        <fgColor rgb="00EFF6FF"/>
        <bgColor rgb="00EFF6FF"/>
      </patternFill>
    </fill>
  </fills>
  <borders count="14">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bottom style="thin">
        <color rgb="0094A3B8"/>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9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xf numFmtId="0" fontId="21" fillId="2" borderId="0" applyAlignment="1" pivotButton="0" quotePrefix="0" xfId="0">
      <alignment horizontal="center" vertical="center"/>
    </xf>
    <xf numFmtId="0" fontId="22" fillId="12" borderId="0" applyAlignment="1" pivotButton="0" quotePrefix="0" xfId="0">
      <alignment horizontal="center" vertical="center"/>
    </xf>
    <xf numFmtId="0" fontId="23" fillId="0" borderId="0" pivotButton="0" quotePrefix="0" xfId="0"/>
    <xf numFmtId="0" fontId="24" fillId="0" borderId="9" pivotButton="0" quotePrefix="0" xfId="0"/>
    <xf numFmtId="0" fontId="25" fillId="0" borderId="9" pivotButton="0" quotePrefix="0" xfId="0"/>
    <xf numFmtId="0" fontId="25" fillId="0" borderId="0" pivotButton="0" quotePrefix="0" xfId="0"/>
    <xf numFmtId="0" fontId="26" fillId="19" borderId="7" applyAlignment="1" pivotButton="0" quotePrefix="0" xfId="0">
      <alignment horizontal="center" vertical="center"/>
    </xf>
    <xf numFmtId="0" fontId="0" fillId="0" borderId="12" pivotButton="0" quotePrefix="0" xfId="0"/>
    <xf numFmtId="0" fontId="0" fillId="0" borderId="13" pivotButton="0" quotePrefix="0" xfId="0"/>
    <xf numFmtId="0" fontId="23" fillId="19" borderId="7" pivotButton="0" quotePrefix="0" xfId="0"/>
    <xf numFmtId="0" fontId="25" fillId="19"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is>
          <t>Cedric (cedric.axa1@gmail.com)</t>
        </is>
      </c>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is>
          <t>Cedric (cedric.axa1@gmail.com)</t>
        </is>
      </c>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is>
          <t>Cedric (cedric.axa1@gmail.com)</t>
        </is>
      </c>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is>
          <t>Cedric (cedric.axa1@gmail.com)</t>
        </is>
      </c>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is>
          <t>Cedric (cedric.axa1@gmail.com)</t>
        </is>
      </c>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is>
          <t>Cedric (cedric.axa1@gmail.com)</t>
        </is>
      </c>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Cedric (cedric.axa1@gmail.com)</t>
        </is>
      </c>
      <c r="B22" s="47">
        <f>COUNTIF('Recruit Monitoring Tracker'!E9:E65, "*Cedric (cedric.axa1@gmail.com)*")</f>
        <v/>
      </c>
      <c r="C22" s="65">
        <f>COUNTIFS('Recruit Monitoring Tracker'!E9:E65, "*Cedric (cedric.axa1@gmail.com)*", 'Recruit Monitoring Tracker'!H9:H65, "Yes")</f>
        <v/>
      </c>
      <c r="D22" s="38">
        <f>IFERROR(C22/B22, 0)</f>
        <v/>
      </c>
      <c r="E22" s="65">
        <f>COUNTIFS('Recruit Monitoring Tracker'!E9:E65, "*Cedric (cedric.axa1@gmail.com)*", 'Recruit Monitoring Tracker'!L9:L65, "Yes")</f>
        <v/>
      </c>
      <c r="F22" s="38">
        <f>IFERROR(E22/C22, 0)</f>
        <v/>
      </c>
      <c r="G22" s="47">
        <f>COUNTIFS('Recruit Monitoring Tracker'!E9:E65, "*Cedric (cedric.axa1@gmail.com)*", 'Recruit Monitoring Tracker'!P9:P65, "*Ready for Exam*")</f>
        <v/>
      </c>
    </row>
    <row r="23" ht="20" customHeight="1">
      <c r="A23" s="50" t="inlineStr">
        <is>
          <t>Sarah Jenkins (UM)</t>
        </is>
      </c>
      <c r="B23" s="51">
        <f>COUNTIF('Recruit Monitoring Tracker'!E9:E65, "*Sarah Jenkins (UM)*")</f>
        <v/>
      </c>
      <c r="C23" s="66">
        <f>COUNTIFS('Recruit Monitoring Tracker'!E9:E65, "*Sarah Jenkins (UM)*", 'Recruit Monitoring Tracker'!H9:H65, "Yes")</f>
        <v/>
      </c>
      <c r="D23" s="42">
        <f>IFERROR(C23/B23, 0)</f>
        <v/>
      </c>
      <c r="E23" s="66">
        <f>COUNTIFS('Recruit Monitoring Tracker'!E9:E65, "*Sarah Jenkins (UM)*", 'Recruit Monitoring Tracker'!L9:L65, "Yes")</f>
        <v/>
      </c>
      <c r="F23" s="42">
        <f>IFERROR(E23/C23, 0)</f>
        <v/>
      </c>
      <c r="G23" s="51">
        <f>COUNTIFS('Recruit Monitoring Tracker'!E9:E65, "*Sarah Jenkins (UM)*", 'Recruit Monitoring Tracker'!P9:P65, "*Ready for Exam*")</f>
        <v/>
      </c>
    </row>
    <row r="24" ht="20" customHeight="1">
      <c r="A24" s="46" t="inlineStr">
        <is>
          <t>David Tan</t>
        </is>
      </c>
      <c r="B24" s="47">
        <f>COUNTIF('Recruit Monitoring Tracker'!E9:E65, "*David Tan*")</f>
        <v/>
      </c>
      <c r="C24" s="65">
        <f>COUNTIFS('Recruit Monitoring Tracker'!E9:E65, "*David Tan*", 'Recruit Monitoring Tracker'!H9:H65, "Yes")</f>
        <v/>
      </c>
      <c r="D24" s="38">
        <f>IFERROR(C24/B24, 0)</f>
        <v/>
      </c>
      <c r="E24" s="65">
        <f>COUNTIFS('Recruit Monitoring Tracker'!E9:E65, "*David Tan*", 'Recruit Monitoring Tracker'!L9:L65, "Yes")</f>
        <v/>
      </c>
      <c r="F24" s="38">
        <f>IFERROR(E24/C24, 0)</f>
        <v/>
      </c>
      <c r="G24" s="47">
        <f>COUNTIFS('Recruit Monitoring Tracker'!E9:E65, "*David Tan*", 'Recruit Monitoring Tracker'!P9:P65, "*Ready for Exam*")</f>
        <v/>
      </c>
    </row>
    <row r="25" ht="20" customHeight="1">
      <c r="A25" s="50" t="inlineStr">
        <is>
          <t>Elena Gomez</t>
        </is>
      </c>
      <c r="B25" s="51">
        <f>COUNTIF('Recruit Monitoring Tracker'!E9:E65, "*Elena Gomez*")</f>
        <v/>
      </c>
      <c r="C25" s="66">
        <f>COUNTIFS('Recruit Monitoring Tracker'!E9:E65, "*Elena Gomez*", 'Recruit Monitoring Tracker'!H9:H65, "Yes")</f>
        <v/>
      </c>
      <c r="D25" s="42">
        <f>IFERROR(C25/B25, 0)</f>
        <v/>
      </c>
      <c r="E25" s="66">
        <f>COUNTIFS('Recruit Monitoring Tracker'!E9:E65, "*Elena Gomez*", 'Recruit Monitoring Tracker'!L9:L65, "Yes")</f>
        <v/>
      </c>
      <c r="F25" s="42">
        <f>IFERROR(E25/C25, 0)</f>
        <v/>
      </c>
      <c r="G25" s="51">
        <f>COUNTIFS('Recruit Monitoring Tracker'!E9:E65, "*Elena Gomez*",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Cedric (cedric.axa1@gmail.com)</t>
        </is>
      </c>
      <c r="H6" s="71" t="inlineStr">
        <is>
          <t>Agency Leader / Recruiter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Sarah Jenkins (UM)</t>
        </is>
      </c>
      <c r="H7" s="71" t="inlineStr">
        <is>
          <t>Unit Manager / Agency Leader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David Tan</t>
        </is>
      </c>
      <c r="H8" s="71" t="inlineStr">
        <is>
          <t>Senior Financial Advisor / Recruiter</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Elena Gomez</t>
        </is>
      </c>
      <c r="H9" s="71" t="inlineStr">
        <is>
          <t>Agency Recruitment Specialist</t>
        </is>
      </c>
    </row>
    <row r="10">
      <c r="G10" s="70" t="inlineStr">
        <is>
          <t>Michael Chang</t>
        </is>
      </c>
      <c r="H10"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G27"/>
  <sheetViews>
    <sheetView showGridLines="1" workbookViewId="0">
      <selection activeCell="A1" sqref="A1"/>
    </sheetView>
  </sheetViews>
  <sheetFormatPr baseColWidth="8" defaultRowHeight="15"/>
  <cols>
    <col width="20" customWidth="1" min="1" max="1"/>
    <col width="16" customWidth="1" min="2" max="2"/>
    <col width="16" customWidth="1" min="3" max="3"/>
    <col width="18" customWidth="1" min="4" max="4"/>
    <col width="14" customWidth="1" min="5" max="5"/>
    <col width="14" customWidth="1" min="6" max="6"/>
    <col width="14" customWidth="1" min="7" max="7"/>
  </cols>
  <sheetData>
    <row r="1" ht="30" customHeight="1">
      <c r="A1" s="79" t="inlineStr">
        <is>
          <t>AGENCY DISCOVERY DAY (ADD) — REGISTRATION FORM</t>
        </is>
      </c>
    </row>
    <row r="2" ht="18" customHeight="1">
      <c r="A2" s="80" t="inlineStr">
        <is>
          <t>Candidate Career Orientation Intake Slip | Pre-Licensing Recruitment Pipeline</t>
        </is>
      </c>
    </row>
    <row r="3" ht="8" customHeight="1"/>
    <row r="4" ht="20" customHeight="1">
      <c r="A4" s="75" t="inlineStr">
        <is>
          <t>1. CANDIDATE PERSONAL INFORMATION</t>
        </is>
      </c>
    </row>
    <row r="5" ht="22" customHeight="1">
      <c r="A5" s="81" t="inlineStr">
        <is>
          <t>Complete Name:</t>
        </is>
      </c>
      <c r="B5" s="82" t="inlineStr">
        <is>
          <t>Last Name, First Name M.I.</t>
        </is>
      </c>
    </row>
    <row r="6" ht="22" customHeight="1">
      <c r="A6" s="81" t="inlineStr">
        <is>
          <t>Mobile Number:</t>
        </is>
      </c>
      <c r="B6" s="82" t="inlineStr">
        <is>
          <t>+63 9XX XXX XXXX</t>
        </is>
      </c>
      <c r="D6" s="81" t="inlineStr">
        <is>
          <t>Email Address:</t>
        </is>
      </c>
      <c r="E6" s="82" t="inlineStr">
        <is>
          <t>candidate@email.com</t>
        </is>
      </c>
    </row>
    <row r="7" ht="22" customHeight="1">
      <c r="A7" s="81" t="inlineStr">
        <is>
          <t>Date of Birth:</t>
        </is>
      </c>
      <c r="B7" s="82" t="inlineStr">
        <is>
          <t>YYYY-MM-DD</t>
        </is>
      </c>
      <c r="D7" s="81" t="inlineStr">
        <is>
          <t>Civil Status:</t>
        </is>
      </c>
      <c r="E7" s="83" t="inlineStr">
        <is>
          <t>[ ] Single   [ ] Married   [ ] Other</t>
        </is>
      </c>
    </row>
    <row r="8" ht="22" customHeight="1">
      <c r="A8" s="81" t="inlineStr">
        <is>
          <t>City / Address:</t>
        </is>
      </c>
      <c r="B8" s="82" t="inlineStr">
        <is>
          <t>City, Province</t>
        </is>
      </c>
    </row>
    <row r="9" ht="6" customHeight="1"/>
    <row r="10" ht="20" customHeight="1">
      <c r="A10" s="75" t="inlineStr">
        <is>
          <t>2. BACKGROUND &amp; CURRENT OCCUPATION</t>
        </is>
      </c>
    </row>
    <row r="11" ht="22" customHeight="1">
      <c r="A11" s="81" t="inlineStr">
        <is>
          <t>Current Field:</t>
        </is>
      </c>
      <c r="B11" s="83" t="inlineStr">
        <is>
          <t>[ ] Employed   [ ] Business   [ ] Freelance</t>
        </is>
      </c>
      <c r="D11" s="81" t="inlineStr">
        <is>
          <t>Current Company / Role:</t>
        </is>
      </c>
      <c r="E11" s="82" t="inlineStr">
        <is>
          <t>Job Title / Employer</t>
        </is>
      </c>
    </row>
    <row r="12" ht="22" customHeight="1">
      <c r="A12" s="81" t="inlineStr">
        <is>
          <t>Education:</t>
        </is>
      </c>
      <c r="B12" s="82" t="inlineStr">
        <is>
          <t>College Degree / Course</t>
        </is>
      </c>
      <c r="D12" s="81" t="inlineStr">
        <is>
          <t>Work Experience:</t>
        </is>
      </c>
      <c r="E12" s="83" t="inlineStr">
        <is>
          <t>[ ] &lt;1 yr   [ ] 1-3 yrs   [ ] 3-5 yrs   [ ] 5+ yrs</t>
        </is>
      </c>
    </row>
    <row r="13" ht="6" customHeight="1"/>
    <row r="14" ht="20" customHeight="1">
      <c r="A14" s="75" t="inlineStr">
        <is>
          <t>3. SOURCING &amp; ADD ORIENTATION SCHEDULE</t>
        </is>
      </c>
    </row>
    <row r="15" ht="22" customHeight="1">
      <c r="A15" s="81" t="inlineStr">
        <is>
          <t>Invited By (Recruiter):</t>
        </is>
      </c>
      <c r="B15" s="82" t="inlineStr">
        <is>
          <t>Cedric (cedric.axa1@gmail.com)</t>
        </is>
      </c>
      <c r="D15" s="81" t="inlineStr">
        <is>
          <t>Date Invited / Sourced:</t>
        </is>
      </c>
      <c r="E15" s="83" t="inlineStr">
        <is>
          <t>2026-09-15</t>
        </is>
      </c>
    </row>
    <row r="16" ht="22" customHeight="1">
      <c r="A16" s="81" t="inlineStr">
        <is>
          <t>Preferred ADD Session:</t>
        </is>
      </c>
      <c r="B16" s="83" t="inlineStr">
        <is>
          <t>[X] Thursday, Sept 17, 2026 (7:00 PM)   [ ] Special / Alternate Date</t>
        </is>
      </c>
      <c r="D16" s="81" t="inlineStr">
        <is>
          <t>Orientation Mode:</t>
        </is>
      </c>
      <c r="E16" s="83" t="inlineStr">
        <is>
          <t>[ ] Online via Zoom   [ ] Branch / In-Person</t>
        </is>
      </c>
    </row>
    <row r="17" ht="6" customHeight="1"/>
    <row r="18" ht="20" customHeight="1">
      <c r="A18" s="75" t="inlineStr">
        <is>
          <t>4. MOTIVATION &amp; CAREER OBJECTIVES</t>
        </is>
      </c>
    </row>
    <row r="19" ht="22" customHeight="1">
      <c r="A19" s="81" t="inlineStr">
        <is>
          <t>Primary Motivation:</t>
        </is>
      </c>
      <c r="B19" s="83" t="inlineStr">
        <is>
          <t>[ ] Unlimited Income Potential   [ ] Flexible Time   [ ] Work from Home   [ ] Helping Others</t>
        </is>
      </c>
    </row>
    <row r="20" ht="22" customHeight="1">
      <c r="A20" s="81" t="inlineStr">
        <is>
          <t>Career Mode:</t>
        </is>
      </c>
      <c r="B20" s="83" t="inlineStr">
        <is>
          <t>[ ] Full-Time Financial Advisor     [ ] Part-Time Financial Advisor     [ ] Exploring / Open-Minded</t>
        </is>
      </c>
    </row>
    <row r="21" ht="6" customHeight="1"/>
    <row r="22" ht="20" customHeight="1">
      <c r="A22" s="75" t="inlineStr">
        <is>
          <t>5. CONFIRMATION &amp; OFFICE USE ONLY</t>
        </is>
      </c>
    </row>
    <row r="23" ht="24" customHeight="1">
      <c r="A23" s="81" t="inlineStr">
        <is>
          <t>Candidate Signature:</t>
        </is>
      </c>
      <c r="B23" s="84" t="inlineStr">
        <is>
          <t>____________________________</t>
        </is>
      </c>
      <c r="D23" s="81" t="inlineStr">
        <is>
          <t>Date Signed:</t>
        </is>
      </c>
      <c r="E23" s="84" t="inlineStr">
        <is>
          <t>____________________________</t>
        </is>
      </c>
    </row>
    <row r="24" ht="20" customHeight="1">
      <c r="A24" s="85" t="inlineStr">
        <is>
          <t>--- FOR AGENCY / UNIT MANAGER USE ONLY ---</t>
        </is>
      </c>
      <c r="B24" s="86" t="n"/>
      <c r="C24" s="86" t="n"/>
      <c r="D24" s="86" t="n"/>
      <c r="E24" s="86" t="n"/>
      <c r="F24" s="86" t="n"/>
      <c r="G24" s="87" t="n"/>
    </row>
    <row r="25" ht="20" customHeight="1">
      <c r="A25" s="88" t="inlineStr">
        <is>
          <t>Assigned Recruit ID:</t>
        </is>
      </c>
      <c r="B25" s="89" t="inlineStr">
        <is>
          <t>REC-_____</t>
        </is>
      </c>
      <c r="C25" s="87" t="n"/>
      <c r="D25" s="88" t="inlineStr">
        <is>
          <t>ADD Attendance:</t>
        </is>
      </c>
      <c r="E25" s="89" t="inlineStr">
        <is>
          <t>[ ] Attended (Date: ________)   [ ] Rescheduled</t>
        </is>
      </c>
      <c r="F25" s="86" t="n"/>
      <c r="G25" s="87" t="n"/>
    </row>
    <row r="26" ht="20" customHeight="1">
      <c r="A26" s="88" t="inlineStr">
        <is>
          <t>LMS Endorsement:</t>
        </is>
      </c>
      <c r="B26" s="89" t="inlineStr">
        <is>
          <t>[ ] Approved for LMS Modules</t>
        </is>
      </c>
      <c r="C26" s="87" t="n"/>
      <c r="D26" s="88" t="inlineStr">
        <is>
          <t>LMS Setup Date:</t>
        </is>
      </c>
      <c r="E26" s="89" t="inlineStr">
        <is>
          <t>Credentials Sent Date: ________</t>
        </is>
      </c>
      <c r="F26" s="86" t="n"/>
      <c r="G26" s="87" t="n"/>
    </row>
    <row r="27" ht="20" customHeight="1">
      <c r="A27" s="88" t="inlineStr">
        <is>
          <t>UM / Recruiter Sign:</t>
        </is>
      </c>
      <c r="B27" s="89" t="inlineStr">
        <is>
          <t>_______________________</t>
        </is>
      </c>
      <c r="C27" s="87" t="n"/>
      <c r="D27" s="88" t="inlineStr">
        <is>
          <t>Overall Status:</t>
        </is>
      </c>
      <c r="E27" s="89" t="inlineStr">
        <is>
          <t>[ ] Active In Pipeline   [ ] Ready for Exam</t>
        </is>
      </c>
      <c r="F27" s="86" t="n"/>
      <c r="G27" s="87" t="n"/>
    </row>
  </sheetData>
  <mergeCells count="32">
    <mergeCell ref="A14:G14"/>
    <mergeCell ref="B16:C16"/>
    <mergeCell ref="B7:C7"/>
    <mergeCell ref="B25:C25"/>
    <mergeCell ref="A22:G22"/>
    <mergeCell ref="A4:G4"/>
    <mergeCell ref="B8:G8"/>
    <mergeCell ref="B27:C27"/>
    <mergeCell ref="E15:G15"/>
    <mergeCell ref="A10:G10"/>
    <mergeCell ref="E6:G6"/>
    <mergeCell ref="B12:C12"/>
    <mergeCell ref="B19:G19"/>
    <mergeCell ref="E11:G11"/>
    <mergeCell ref="B11:C11"/>
    <mergeCell ref="E27:G27"/>
    <mergeCell ref="B23:C23"/>
    <mergeCell ref="A24:G24"/>
    <mergeCell ref="E26:G26"/>
    <mergeCell ref="E7:G7"/>
    <mergeCell ref="E25:G25"/>
    <mergeCell ref="E16:G16"/>
    <mergeCell ref="B20:G20"/>
    <mergeCell ref="A1:G1"/>
    <mergeCell ref="B5:G5"/>
    <mergeCell ref="E12:G12"/>
    <mergeCell ref="B6:C6"/>
    <mergeCell ref="B15:C15"/>
    <mergeCell ref="A18:G18"/>
    <mergeCell ref="E23:G23"/>
    <mergeCell ref="A2:G2"/>
    <mergeCell ref="B26:C26"/>
  </mergeCells>
  <pageMargins left="0.75" right="0.75" top="1" bottom="1"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2026-09-15T03:23:44Z</dcterms:created>
  <dcterms:modified xsi:type="dcterms:W3CDTF">2026-09-15T03:23:44Z</dcterms:modified>
</cp:coreProperties>
</file>