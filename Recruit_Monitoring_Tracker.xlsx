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ruit Monitoring Tracker" sheetId="1" state="visible" r:id="rId1"/>
    <sheet name="Recruitment Dashboard" sheetId="2" state="visible" r:id="rId2"/>
    <sheet name="Dropdowns &amp; Settings" sheetId="3" state="visible" r:id="rId3"/>
    <sheet name="User Guide &amp; Workflow" sheetId="4" state="visible" r:id="rId4"/>
    <sheet name="ADD Registration Form"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27">
    <font>
      <name val="Calibri"/>
      <family val="2"/>
      <color theme="1"/>
      <sz val="11"/>
      <scheme val="minor"/>
    </font>
    <font>
      <name val="Calibri"/>
      <b val="1"/>
      <color rgb="00FFFFFF"/>
      <sz val="16"/>
    </font>
    <font>
      <name val="Calibri"/>
      <i val="1"/>
      <color rgb="00334155"/>
      <sz val="10"/>
    </font>
    <font>
      <name val="Calibri"/>
      <b val="1"/>
      <color rgb="001E40AF"/>
      <sz val="9"/>
    </font>
    <font>
      <name val="Calibri"/>
      <b val="1"/>
      <color rgb="001E40AF"/>
      <sz val="20"/>
    </font>
    <font>
      <name val="Calibri"/>
      <color rgb="001E40AF"/>
      <sz val="8.5"/>
    </font>
    <font>
      <name val="Calibri"/>
      <b val="1"/>
      <color rgb="000369A1"/>
      <sz val="9"/>
    </font>
    <font>
      <name val="Calibri"/>
      <b val="1"/>
      <color rgb="000369A1"/>
      <sz val="20"/>
    </font>
    <font>
      <name val="Calibri"/>
      <color rgb="000369A1"/>
      <sz val="8.5"/>
    </font>
    <font>
      <name val="Calibri"/>
      <b val="1"/>
      <color rgb="00B45309"/>
      <sz val="9"/>
    </font>
    <font>
      <name val="Calibri"/>
      <b val="1"/>
      <color rgb="00B45309"/>
      <sz val="20"/>
    </font>
    <font>
      <name val="Calibri"/>
      <color rgb="00B45309"/>
      <sz val="8.5"/>
    </font>
    <font>
      <name val="Calibri"/>
      <b val="1"/>
      <color rgb="0015803D"/>
      <sz val="9"/>
    </font>
    <font>
      <name val="Calibri"/>
      <b val="1"/>
      <color rgb="0015803D"/>
      <sz val="20"/>
    </font>
    <font>
      <name val="Calibri"/>
      <color rgb="0015803D"/>
      <sz val="8.5"/>
    </font>
    <font>
      <name val="Calibri"/>
      <b val="1"/>
      <color rgb="007E22CE"/>
      <sz val="9"/>
    </font>
    <font>
      <name val="Calibri"/>
      <b val="1"/>
      <color rgb="007E22CE"/>
      <sz val="20"/>
    </font>
    <font>
      <name val="Calibri"/>
      <color rgb="007E22CE"/>
      <sz val="8.5"/>
    </font>
    <font>
      <name val="Calibri"/>
      <b val="1"/>
      <color rgb="00FFFFFF"/>
      <sz val="10"/>
    </font>
    <font>
      <name val="Calibri"/>
      <color rgb="000F172A"/>
      <sz val="10"/>
    </font>
    <font>
      <name val="Calibri"/>
      <b val="1"/>
      <color rgb="000F172A"/>
      <sz val="10"/>
    </font>
    <font>
      <name val="Calibri"/>
      <b val="1"/>
      <color rgb="00FFFFFF"/>
      <sz val="15"/>
    </font>
    <font>
      <name val="Calibri"/>
      <i val="1"/>
      <color rgb="00E2E8F0"/>
      <sz val="9.5"/>
    </font>
    <font>
      <name val="Calibri"/>
      <b val="1"/>
      <color rgb="00334155"/>
      <sz val="9"/>
    </font>
    <font>
      <name val="Calibri"/>
      <i val="1"/>
      <color rgb="0064748B"/>
      <sz val="8"/>
    </font>
    <font>
      <name val="Calibri"/>
      <color rgb="000F172A"/>
      <sz val="9.5"/>
    </font>
    <font>
      <name val="Calibri"/>
      <b val="1"/>
      <color rgb="001E3A8A"/>
      <sz val="9.5"/>
    </font>
  </fonts>
  <fills count="20">
    <fill>
      <patternFill/>
    </fill>
    <fill>
      <patternFill patternType="gray125"/>
    </fill>
    <fill>
      <patternFill patternType="solid">
        <fgColor rgb="001B365D"/>
        <bgColor rgb="001B365D"/>
      </patternFill>
    </fill>
    <fill>
      <patternFill patternType="solid">
        <fgColor rgb="00F1F5F9"/>
        <bgColor rgb="00F1F5F9"/>
      </patternFill>
    </fill>
    <fill>
      <patternFill patternType="solid">
        <fgColor rgb="00EBF4FF"/>
        <bgColor rgb="00EBF4FF"/>
      </patternFill>
    </fill>
    <fill>
      <patternFill patternType="solid">
        <fgColor rgb="00E0F2FE"/>
        <bgColor rgb="00E0F2FE"/>
      </patternFill>
    </fill>
    <fill>
      <patternFill patternType="solid">
        <fgColor rgb="00FEF3C7"/>
        <bgColor rgb="00FEF3C7"/>
      </patternFill>
    </fill>
    <fill>
      <patternFill patternType="solid">
        <fgColor rgb="00DCFCE7"/>
        <bgColor rgb="00DCFCE7"/>
      </patternFill>
    </fill>
    <fill>
      <patternFill patternType="solid">
        <fgColor rgb="00F3E8FF"/>
        <bgColor rgb="00F3E8FF"/>
      </patternFill>
    </fill>
    <fill>
      <patternFill patternType="solid">
        <fgColor rgb="002563EB"/>
        <bgColor rgb="002563EB"/>
      </patternFill>
    </fill>
    <fill>
      <patternFill patternType="solid">
        <fgColor rgb="000D9488"/>
        <bgColor rgb="000D9488"/>
      </patternFill>
    </fill>
    <fill>
      <patternFill patternType="solid">
        <fgColor rgb="00334155"/>
        <bgColor rgb="00334155"/>
      </patternFill>
    </fill>
    <fill>
      <patternFill patternType="solid">
        <fgColor rgb="00244B7A"/>
        <bgColor rgb="00244B7A"/>
      </patternFill>
    </fill>
    <fill>
      <patternFill patternType="solid">
        <fgColor rgb="003B82F6"/>
        <bgColor rgb="003B82F6"/>
      </patternFill>
    </fill>
    <fill>
      <patternFill patternType="solid">
        <fgColor rgb="0014B8A6"/>
        <bgColor rgb="0014B8A6"/>
      </patternFill>
    </fill>
    <fill>
      <patternFill patternType="solid">
        <fgColor rgb="00475569"/>
        <bgColor rgb="00475569"/>
      </patternFill>
    </fill>
    <fill>
      <patternFill patternType="solid">
        <fgColor rgb="00FFFFFF"/>
        <bgColor rgb="00FFFFFF"/>
      </patternFill>
    </fill>
    <fill>
      <patternFill patternType="solid">
        <fgColor rgb="00F8FAFC"/>
        <bgColor rgb="00F8FAFC"/>
      </patternFill>
    </fill>
    <fill>
      <patternFill patternType="solid">
        <fgColor rgb="001E3A8A"/>
        <bgColor rgb="001E3A8A"/>
      </patternFill>
    </fill>
    <fill>
      <patternFill patternType="solid">
        <fgColor rgb="00EFF6FF"/>
        <bgColor rgb="00EFF6FF"/>
      </patternFill>
    </fill>
  </fills>
  <borders count="14">
    <border>
      <left/>
      <right/>
      <top/>
      <bottom/>
      <diagonal/>
    </border>
    <border>
      <left style="thin">
        <color rgb="0093C5FD"/>
      </left>
      <right style="thin">
        <color rgb="0093C5FD"/>
      </right>
      <top style="thin">
        <color rgb="0093C5FD"/>
      </top>
      <bottom style="thin">
        <color rgb="0093C5FD"/>
      </bottom>
    </border>
    <border>
      <left style="thin">
        <color rgb="007DD3FC"/>
      </left>
      <right style="thin">
        <color rgb="007DD3FC"/>
      </right>
      <top style="thin">
        <color rgb="007DD3FC"/>
      </top>
      <bottom style="thin">
        <color rgb="007DD3FC"/>
      </bottom>
    </border>
    <border>
      <left style="thin">
        <color rgb="00FCD34D"/>
      </left>
      <right style="thin">
        <color rgb="00FCD34D"/>
      </right>
      <top style="thin">
        <color rgb="00FCD34D"/>
      </top>
      <bottom style="thin">
        <color rgb="00FCD34D"/>
      </bottom>
    </border>
    <border>
      <left style="thin">
        <color rgb="0086EFAC"/>
      </left>
      <right style="thin">
        <color rgb="0086EFAC"/>
      </right>
      <top style="thin">
        <color rgb="0086EFAC"/>
      </top>
      <bottom style="thin">
        <color rgb="0086EFAC"/>
      </bottom>
    </border>
    <border>
      <left style="thin">
        <color rgb="00D8B4FE"/>
      </left>
      <right style="thin">
        <color rgb="00D8B4FE"/>
      </right>
      <top style="thin">
        <color rgb="00D8B4FE"/>
      </top>
      <bottom style="thin">
        <color rgb="00D8B4FE"/>
      </bottom>
    </border>
    <border>
      <left style="thin">
        <color rgb="00CBD5E1"/>
      </left>
      <right style="thin">
        <color rgb="00CBD5E1"/>
      </right>
      <top style="thin">
        <color rgb="00CBD5E1"/>
      </top>
      <bottom style="medium">
        <color rgb="0064748B"/>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
      <bottom style="thin">
        <color rgb="0094A3B8"/>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9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4" borderId="1" pivotButton="0" quotePrefix="0" xfId="0"/>
    <xf numFmtId="0" fontId="6" fillId="5" borderId="2" applyAlignment="1" pivotButton="0" quotePrefix="0" xfId="0">
      <alignment horizontal="center" vertical="center"/>
    </xf>
    <xf numFmtId="0" fontId="0" fillId="5" borderId="2" pivotButton="0" quotePrefix="0" xfId="0"/>
    <xf numFmtId="0" fontId="9" fillId="6" borderId="3" applyAlignment="1" pivotButton="0" quotePrefix="0" xfId="0">
      <alignment horizontal="center" vertical="center"/>
    </xf>
    <xf numFmtId="0" fontId="0" fillId="6" borderId="3" pivotButton="0" quotePrefix="0" xfId="0"/>
    <xf numFmtId="0" fontId="12" fillId="7" borderId="4" applyAlignment="1" pivotButton="0" quotePrefix="0" xfId="0">
      <alignment horizontal="center" vertical="center"/>
    </xf>
    <xf numFmtId="0" fontId="0" fillId="7" borderId="4" pivotButton="0" quotePrefix="0" xfId="0"/>
    <xf numFmtId="0" fontId="15" fillId="8" borderId="5" applyAlignment="1" pivotButton="0" quotePrefix="0" xfId="0">
      <alignment horizontal="center" vertical="center"/>
    </xf>
    <xf numFmtId="0" fontId="0" fillId="8" borderId="5" pivotButton="0" quotePrefix="0" xfId="0"/>
    <xf numFmtId="3" fontId="4" fillId="4" borderId="1" applyAlignment="1" pivotButton="0" quotePrefix="0" xfId="0">
      <alignment horizontal="center" vertical="center"/>
    </xf>
    <xf numFmtId="3" fontId="7" fillId="5" borderId="2" applyAlignment="1" pivotButton="0" quotePrefix="0" xfId="0">
      <alignment horizontal="center" vertical="center"/>
    </xf>
    <xf numFmtId="3" fontId="10" fillId="6" borderId="3" applyAlignment="1" pivotButton="0" quotePrefix="0" xfId="0">
      <alignment horizontal="center" vertical="center"/>
    </xf>
    <xf numFmtId="3" fontId="13" fillId="7" borderId="4" applyAlignment="1" pivotButton="0" quotePrefix="0" xfId="0">
      <alignment horizontal="center" vertical="center"/>
    </xf>
    <xf numFmtId="164" fontId="16" fillId="8" borderId="5" applyAlignment="1" pivotButton="0" quotePrefix="0" xfId="0">
      <alignment horizontal="center" vertical="center"/>
    </xf>
    <xf numFmtId="0" fontId="5" fillId="4" borderId="1" applyAlignment="1" pivotButton="0" quotePrefix="0" xfId="0">
      <alignment horizontal="center" vertical="center"/>
    </xf>
    <xf numFmtId="0" fontId="8" fillId="5" borderId="2" applyAlignment="1" pivotButton="0" quotePrefix="0" xfId="0">
      <alignment horizontal="center" vertical="center"/>
    </xf>
    <xf numFmtId="0" fontId="11" fillId="6" borderId="3" applyAlignment="1" pivotButton="0" quotePrefix="0" xfId="0">
      <alignment horizontal="center" vertical="center"/>
    </xf>
    <xf numFmtId="0" fontId="14" fillId="7" borderId="4" applyAlignment="1" pivotButton="0" quotePrefix="0" xfId="0">
      <alignment horizontal="center" vertical="center"/>
    </xf>
    <xf numFmtId="0" fontId="17" fillId="8" borderId="5" applyAlignment="1" pivotButton="0" quotePrefix="0" xfId="0">
      <alignment horizontal="center" vertical="center"/>
    </xf>
    <xf numFmtId="0" fontId="18" fillId="2" borderId="6" applyAlignment="1" pivotButton="0" quotePrefix="0" xfId="0">
      <alignment horizontal="center" vertical="center"/>
    </xf>
    <xf numFmtId="0" fontId="18" fillId="9" borderId="6" applyAlignment="1" pivotButton="0" quotePrefix="0" xfId="0">
      <alignment horizontal="center" vertical="center"/>
    </xf>
    <xf numFmtId="0" fontId="18" fillId="10" borderId="6" applyAlignment="1" pivotButton="0" quotePrefix="0" xfId="0">
      <alignment horizontal="center" vertical="center"/>
    </xf>
    <xf numFmtId="0" fontId="18" fillId="11" borderId="6" applyAlignment="1" pivotButton="0" quotePrefix="0" xfId="0">
      <alignment horizontal="center" vertical="center"/>
    </xf>
    <xf numFmtId="0" fontId="18" fillId="12" borderId="6" applyAlignment="1" pivotButton="0" quotePrefix="0" xfId="0">
      <alignment horizontal="center" vertical="center" wrapText="1"/>
    </xf>
    <xf numFmtId="0" fontId="18" fillId="12" borderId="6" applyAlignment="1" pivotButton="0" quotePrefix="0" xfId="0">
      <alignment horizontal="left" vertical="center" wrapText="1"/>
    </xf>
    <xf numFmtId="0" fontId="18" fillId="13" borderId="6" applyAlignment="1" pivotButton="0" quotePrefix="0" xfId="0">
      <alignment horizontal="center" vertical="center" wrapText="1"/>
    </xf>
    <xf numFmtId="0" fontId="18" fillId="13" borderId="6" applyAlignment="1" pivotButton="0" quotePrefix="0" xfId="0">
      <alignment horizontal="left" vertical="center" wrapText="1"/>
    </xf>
    <xf numFmtId="0" fontId="1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8" fillId="15" borderId="6" applyAlignment="1" pivotButton="0" quotePrefix="0" xfId="0">
      <alignment horizontal="center" vertical="center" wrapText="1"/>
    </xf>
    <xf numFmtId="0" fontId="18" fillId="15" borderId="6" applyAlignment="1" pivotButton="0" quotePrefix="0" xfId="0">
      <alignment horizontal="left" vertical="center" wrapText="1"/>
    </xf>
    <xf numFmtId="0" fontId="19" fillId="16" borderId="7" applyAlignment="1" pivotButton="0" quotePrefix="0" xfId="0">
      <alignment horizontal="center" vertical="center"/>
    </xf>
    <xf numFmtId="0" fontId="19" fillId="16" borderId="7" applyAlignment="1" pivotButton="0" quotePrefix="0" xfId="0">
      <alignment horizontal="left" vertical="center"/>
    </xf>
    <xf numFmtId="165" fontId="19" fillId="16" borderId="7" applyAlignment="1" pivotButton="0" quotePrefix="0" xfId="0">
      <alignment horizontal="center" vertical="center"/>
    </xf>
    <xf numFmtId="164" fontId="19" fillId="16" borderId="7" applyAlignment="1" pivotButton="0" quotePrefix="0" xfId="0">
      <alignment horizontal="center" vertical="center"/>
    </xf>
    <xf numFmtId="0" fontId="19" fillId="17" borderId="7" applyAlignment="1" pivotButton="0" quotePrefix="0" xfId="0">
      <alignment horizontal="center" vertical="center"/>
    </xf>
    <xf numFmtId="0" fontId="19" fillId="17" borderId="7" applyAlignment="1" pivotButton="0" quotePrefix="0" xfId="0">
      <alignment horizontal="left" vertical="center"/>
    </xf>
    <xf numFmtId="165" fontId="19" fillId="17" borderId="7" applyAlignment="1" pivotButton="0" quotePrefix="0" xfId="0">
      <alignment horizontal="center" vertical="center"/>
    </xf>
    <xf numFmtId="164" fontId="19" fillId="17" borderId="7" applyAlignment="1" pivotButton="0" quotePrefix="0" xfId="0">
      <alignment horizontal="center" vertical="center"/>
    </xf>
    <xf numFmtId="0" fontId="18" fillId="9" borderId="0" applyAlignment="1" pivotButton="0" quotePrefix="0" xfId="0">
      <alignment horizontal="center" vertical="center"/>
    </xf>
    <xf numFmtId="0" fontId="18" fillId="18" borderId="6" applyAlignment="1" pivotButton="0" quotePrefix="0" xfId="0">
      <alignment horizontal="left" vertical="center"/>
    </xf>
    <xf numFmtId="0" fontId="18" fillId="18" borderId="6" applyAlignment="1" pivotButton="0" quotePrefix="0" xfId="0">
      <alignment horizontal="center" vertical="center"/>
    </xf>
    <xf numFmtId="0" fontId="20" fillId="16" borderId="7" pivotButton="0" quotePrefix="0" xfId="0"/>
    <xf numFmtId="3" fontId="20" fillId="16" borderId="7" applyAlignment="1" pivotButton="0" quotePrefix="0" xfId="0">
      <alignment horizontal="center" vertical="center"/>
    </xf>
    <xf numFmtId="164" fontId="20" fillId="16" borderId="7" applyAlignment="1" pivotButton="0" quotePrefix="0" xfId="0">
      <alignment horizontal="center" vertical="center"/>
    </xf>
    <xf numFmtId="0" fontId="19" fillId="16" borderId="7" pivotButton="0" quotePrefix="0" xfId="0"/>
    <xf numFmtId="0" fontId="20" fillId="17" borderId="7" pivotButton="0" quotePrefix="0" xfId="0"/>
    <xf numFmtId="3" fontId="20" fillId="17" borderId="7" applyAlignment="1" pivotButton="0" quotePrefix="0" xfId="0">
      <alignment horizontal="center" vertical="center"/>
    </xf>
    <xf numFmtId="164" fontId="20" fillId="17" borderId="7" applyAlignment="1" pivotButton="0" quotePrefix="0" xfId="0">
      <alignment horizontal="center" vertical="center"/>
    </xf>
    <xf numFmtId="0" fontId="19" fillId="17" borderId="7" pivotButton="0" quotePrefix="0" xfId="0"/>
    <xf numFmtId="0" fontId="18" fillId="10" borderId="0" applyAlignment="1" pivotButton="0" quotePrefix="0" xfId="0">
      <alignment horizontal="center" vertical="center"/>
    </xf>
    <xf numFmtId="0" fontId="18" fillId="13" borderId="6" applyAlignment="1" pivotButton="0" quotePrefix="0" xfId="0">
      <alignment horizontal="left" vertical="center"/>
    </xf>
    <xf numFmtId="0" fontId="18" fillId="13" borderId="6" applyAlignment="1" pivotButton="0" quotePrefix="0" xfId="0">
      <alignment horizontal="center" vertical="center"/>
    </xf>
    <xf numFmtId="0" fontId="18" fillId="14" borderId="6" applyAlignment="1" pivotButton="0" quotePrefix="0" xfId="0">
      <alignment horizontal="left" vertical="center"/>
    </xf>
    <xf numFmtId="0" fontId="18" fillId="14" borderId="6" applyAlignment="1" pivotButton="0" quotePrefix="0" xfId="0">
      <alignment horizontal="center" vertical="center"/>
    </xf>
    <xf numFmtId="0" fontId="20" fillId="0" borderId="8" pivotButton="0" quotePrefix="0" xfId="0"/>
    <xf numFmtId="3" fontId="20" fillId="0" borderId="8" applyAlignment="1" pivotButton="0" quotePrefix="0" xfId="0">
      <alignment horizontal="center" vertical="center"/>
    </xf>
    <xf numFmtId="164" fontId="20" fillId="0" borderId="8" applyAlignment="1" pivotButton="0" quotePrefix="0" xfId="0">
      <alignment horizontal="center" vertical="center"/>
    </xf>
    <xf numFmtId="0" fontId="18" fillId="2" borderId="0" applyAlignment="1" pivotButton="0" quotePrefix="0" xfId="0">
      <alignment horizontal="center" vertical="center"/>
    </xf>
    <xf numFmtId="0" fontId="18" fillId="12" borderId="6" applyAlignment="1" pivotButton="0" quotePrefix="0" xfId="0">
      <alignment horizontal="left" vertical="center"/>
    </xf>
    <xf numFmtId="0" fontId="18" fillId="12" borderId="6" applyAlignment="1" pivotButton="0" quotePrefix="0" xfId="0">
      <alignment horizontal="center" vertical="center"/>
    </xf>
    <xf numFmtId="3" fontId="19" fillId="16" borderId="7" applyAlignment="1" pivotButton="0" quotePrefix="0" xfId="0">
      <alignment horizontal="center" vertical="center"/>
    </xf>
    <xf numFmtId="3" fontId="19" fillId="17" borderId="7" applyAlignment="1" pivotButton="0" quotePrefix="0" xfId="0">
      <alignment horizontal="center" vertical="center"/>
    </xf>
    <xf numFmtId="0" fontId="18" fillId="13" borderId="6" pivotButton="0" quotePrefix="0" xfId="0"/>
    <xf numFmtId="0" fontId="18" fillId="14" borderId="6" pivotButton="0" quotePrefix="0" xfId="0"/>
    <xf numFmtId="0" fontId="18" fillId="12" borderId="6" pivotButton="0" quotePrefix="0" xfId="0"/>
    <xf numFmtId="0" fontId="20" fillId="0" borderId="7" pivotButton="0" quotePrefix="0" xfId="0"/>
    <xf numFmtId="0" fontId="19" fillId="0" borderId="7" pivotButton="0" quotePrefix="0" xfId="0"/>
    <xf numFmtId="0" fontId="18" fillId="11" borderId="0" applyAlignment="1" pivotButton="0" quotePrefix="0" xfId="0">
      <alignment horizontal="center" vertical="center"/>
    </xf>
    <xf numFmtId="0" fontId="18" fillId="15" borderId="6" pivotButton="0" quotePrefix="0" xfId="0"/>
    <xf numFmtId="0" fontId="0" fillId="0" borderId="7" pivotButton="0" quotePrefix="0" xfId="0"/>
    <xf numFmtId="0" fontId="18" fillId="9" borderId="0" applyAlignment="1" pivotButton="0" quotePrefix="0" xfId="0">
      <alignment horizontal="left" vertical="center" indent="1"/>
    </xf>
    <xf numFmtId="0" fontId="20" fillId="17" borderId="7" applyAlignment="1" pivotButton="0" quotePrefix="0" xfId="0">
      <alignment horizontal="left" vertical="top"/>
    </xf>
    <xf numFmtId="0" fontId="19" fillId="16" borderId="7" applyAlignment="1" pivotButton="0" quotePrefix="0" xfId="0">
      <alignment horizontal="left" vertical="top" wrapText="1"/>
    </xf>
    <xf numFmtId="0" fontId="0" fillId="16" borderId="7" pivotButton="0" quotePrefix="0" xfId="0"/>
    <xf numFmtId="0" fontId="21" fillId="2" borderId="0" applyAlignment="1" pivotButton="0" quotePrefix="0" xfId="0">
      <alignment horizontal="center" vertical="center"/>
    </xf>
    <xf numFmtId="0" fontId="22" fillId="12" borderId="0" applyAlignment="1" pivotButton="0" quotePrefix="0" xfId="0">
      <alignment horizontal="center" vertical="center"/>
    </xf>
    <xf numFmtId="0" fontId="23" fillId="0" borderId="0" pivotButton="0" quotePrefix="0" xfId="0"/>
    <xf numFmtId="0" fontId="24" fillId="0" borderId="9" pivotButton="0" quotePrefix="0" xfId="0"/>
    <xf numFmtId="0" fontId="25" fillId="0" borderId="9" pivotButton="0" quotePrefix="0" xfId="0"/>
    <xf numFmtId="0" fontId="25" fillId="0" borderId="0" pivotButton="0" quotePrefix="0" xfId="0"/>
    <xf numFmtId="0" fontId="26" fillId="19" borderId="7" applyAlignment="1" pivotButton="0" quotePrefix="0" xfId="0">
      <alignment horizontal="center" vertical="center"/>
    </xf>
    <xf numFmtId="0" fontId="0" fillId="0" borderId="12" pivotButton="0" quotePrefix="0" xfId="0"/>
    <xf numFmtId="0" fontId="0" fillId="0" borderId="13" pivotButton="0" quotePrefix="0" xfId="0"/>
    <xf numFmtId="0" fontId="23" fillId="19" borderId="7" pivotButton="0" quotePrefix="0" xfId="0"/>
    <xf numFmtId="0" fontId="25" fillId="19" borderId="7" pivotButton="0" quotePrefix="0" xfId="0"/>
  </cellXfs>
  <cellStyles count="1">
    <cellStyle name="Normal" xfId="0" builtinId="0" hidden="0"/>
  </cellStyles>
  <dxfs count="6">
    <dxf>
      <font>
        <name val="Calibri"/>
        <b val="1"/>
        <color rgb="00155724"/>
        <sz val="10"/>
      </font>
      <fill>
        <patternFill patternType="solid">
          <fgColor rgb="00D4EDDA"/>
          <bgColor rgb="00D4EDDA"/>
        </patternFill>
      </fill>
    </dxf>
    <dxf>
      <font>
        <name val="Calibri"/>
        <b val="1"/>
        <color rgb="00721C24"/>
        <sz val="10"/>
      </font>
      <fill>
        <patternFill patternType="solid">
          <fgColor rgb="00F8D7DA"/>
          <bgColor rgb="00F8D7DA"/>
        </patternFill>
      </fill>
    </dxf>
    <dxf>
      <font>
        <name val="Calibri"/>
        <b val="1"/>
        <color rgb="00856404"/>
        <sz val="10"/>
      </font>
      <fill>
        <patternFill patternType="solid">
          <fgColor rgb="00FFF3CD"/>
          <bgColor rgb="00FFF3CD"/>
        </patternFill>
      </fill>
    </dxf>
    <dxf>
      <font>
        <name val="Calibri"/>
        <b val="1"/>
        <color rgb="001E40AF"/>
        <sz val="10"/>
      </font>
      <fill>
        <patternFill patternType="solid">
          <fgColor rgb="00DBEAFE"/>
          <bgColor rgb="00DBEAFE"/>
        </patternFill>
      </fill>
    </dxf>
    <dxf>
      <font>
        <name val="Calibri"/>
        <color rgb="00475569"/>
        <sz val="10"/>
      </font>
      <fill>
        <patternFill patternType="solid">
          <fgColor rgb="00F1F5F9"/>
          <bgColor rgb="00F1F5F9"/>
        </patternFill>
      </fill>
    </dxf>
    <dxf>
      <font>
        <name val="Calibri"/>
        <b val="1"/>
        <color rgb="005B21B6"/>
        <sz val="10"/>
      </font>
      <fill>
        <patternFill patternType="solid">
          <fgColor rgb="00EDE9FE"/>
          <bgColor rgb="00EDE9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Recruitment Funnel Conversion</a:t>
            </a:r>
          </a:p>
        </rich>
      </tx>
    </title>
    <plotArea>
      <barChart>
        <barDir val="col"/>
        <grouping val="clustered"/>
        <ser>
          <idx val="0"/>
          <order val="0"/>
          <tx>
            <strRef>
              <f>'Recruitment Dashboard'!B5</f>
            </strRef>
          </tx>
          <spPr>
            <a:ln>
              <a:prstDash val="solid"/>
            </a:ln>
          </spPr>
          <cat>
            <numRef>
              <f>'Recruitment Dashboard'!$A$6:$A$10</f>
            </numRef>
          </cat>
          <val>
            <numRef>
              <f>'Recruitment Dashboard'!$B$6:$B$10</f>
            </numRef>
          </val>
        </ser>
        <gapWidth val="150"/>
        <axId val="10"/>
        <axId val="100"/>
      </barChart>
      <catAx>
        <axId val="10"/>
        <scaling>
          <orientation val="minMax"/>
        </scaling>
        <axPos val="l"/>
        <title>
          <tx>
            <rich>
              <a:bodyPr/>
              <a:p>
                <a:pPr>
                  <a:defRPr/>
                </a:pPr>
                <a:r>
                  <a:t>Pipeline Milestone</a:t>
                </a:r>
              </a:p>
            </rich>
          </tx>
        </title>
        <majorTickMark val="none"/>
        <minorTickMark val="none"/>
        <crossAx val="100"/>
        <lblOffset val="100"/>
      </catAx>
      <valAx>
        <axId val="100"/>
        <scaling>
          <orientation val="minMax"/>
        </scaling>
        <axPos val="l"/>
        <majorGridlines/>
        <title>
          <tx>
            <rich>
              <a:bodyPr/>
              <a:p>
                <a:pPr>
                  <a:defRPr/>
                </a:pPr>
                <a:r>
                  <a:t>Number of Candidates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LMS Completion Breakdown</a:t>
            </a:r>
          </a:p>
        </rich>
      </tx>
    </title>
    <plotArea>
      <pieChart>
        <varyColors val="1"/>
        <ser>
          <idx val="0"/>
          <order val="0"/>
          <tx>
            <strRef>
              <f>'Recruitment Dashboard'!E13</f>
            </strRef>
          </tx>
          <spPr>
            <a:ln>
              <a:prstDash val="solid"/>
            </a:ln>
          </spPr>
          <cat>
            <numRef>
              <f>'Recruitment Dashboard'!$D$14:$D$17</f>
            </numRef>
          </cat>
          <val>
            <numRef>
              <f>'Recruitment Dashboard'!$E$14:$E$17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11</row>
      <rowOff>0</rowOff>
    </from>
    <ext cx="414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65"/>
  <sheetViews>
    <sheetView showGridLines="1" workbookViewId="0">
      <pane xSplit="2" ySplit="8" topLeftCell="C9"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8" customWidth="1" min="3" max="3"/>
    <col width="27" customWidth="1" min="4" max="4"/>
    <col width="20" customWidth="1" min="5" max="5"/>
    <col width="14" customWidth="1" min="6" max="6"/>
    <col width="18" customWidth="1" min="7" max="7"/>
    <col width="15" customWidth="1" min="8" max="8"/>
    <col width="19" customWidth="1" min="9" max="9"/>
    <col width="32" customWidth="1" min="10" max="10"/>
    <col width="17" customWidth="1" min="11" max="11"/>
    <col width="17" customWidth="1" min="12" max="12"/>
    <col width="19" customWidth="1" min="13" max="13"/>
    <col width="15" customWidth="1" min="14" max="14"/>
    <col width="28" customWidth="1" min="15" max="15"/>
    <col width="30" customWidth="1" min="16" max="16"/>
    <col width="32" customWidth="1" min="17" max="17"/>
    <col width="18" customWidth="1" min="18" max="18"/>
    <col width="35" customWidth="1" min="19" max="19"/>
  </cols>
  <sheetData>
    <row r="1" ht="36" customHeight="1">
      <c r="A1" s="1" t="inlineStr">
        <is>
          <t>RECRUIT MONITORING TRACKER</t>
        </is>
      </c>
    </row>
    <row r="2" ht="20" customHeight="1">
      <c r="A2" s="2" t="inlineStr">
        <is>
          <t>Agent Recruitment Pipeline | Candidate Profiling, ADD (Discovery Day) &amp; LMS (Learning Modules) Tracker</t>
        </is>
      </c>
    </row>
    <row r="3" ht="8" customHeight="1"/>
    <row r="4" ht="18" customHeight="1">
      <c r="B4" s="3" t="inlineStr">
        <is>
          <t>TOTAL RECRUITS TRACKED</t>
        </is>
      </c>
      <c r="C4" s="4" t="n"/>
      <c r="D4" s="4" t="n"/>
      <c r="F4" s="5" t="inlineStr">
        <is>
          <t>ATTENDED ADD</t>
        </is>
      </c>
      <c r="G4" s="6" t="n"/>
      <c r="H4" s="6" t="n"/>
      <c r="J4" s="7" t="inlineStr">
        <is>
          <t>LMS IN PROGRESS</t>
        </is>
      </c>
      <c r="K4" s="8" t="n"/>
      <c r="L4" s="8" t="n"/>
      <c r="N4" s="9" t="inlineStr">
        <is>
          <t>COMPLETED LMS</t>
        </is>
      </c>
      <c r="O4" s="10" t="n"/>
      <c r="P4" s="10" t="n"/>
      <c r="R4" s="11" t="inlineStr">
        <is>
          <t>FUNNEL CONVERSION</t>
        </is>
      </c>
      <c r="S4" s="12" t="n"/>
    </row>
    <row r="5" ht="28" customHeight="1">
      <c r="B5" s="13">
        <f>COUNTA(B9:B65)</f>
        <v/>
      </c>
      <c r="C5" s="4" t="n"/>
      <c r="D5" s="4" t="n"/>
      <c r="F5" s="14">
        <f>COUNTIF(H9:H65, "Yes")</f>
        <v/>
      </c>
      <c r="G5" s="6" t="n"/>
      <c r="H5" s="6" t="n"/>
      <c r="J5" s="15">
        <f>COUNTIF(L9:L65, "In Progress")</f>
        <v/>
      </c>
      <c r="K5" s="8" t="n"/>
      <c r="L5" s="8" t="n"/>
      <c r="N5" s="16">
        <f>COUNTIF(L9:L65, "Yes")</f>
        <v/>
      </c>
      <c r="O5" s="10" t="n"/>
      <c r="P5" s="10" t="n"/>
      <c r="R5" s="17">
        <f>IFERROR(COUNTIF(L9:L65,"Yes")/COUNTA(B9:B65),0)</f>
        <v/>
      </c>
      <c r="S5" s="12" t="n"/>
    </row>
    <row r="6" ht="18" customHeight="1">
      <c r="B6" s="18" t="inlineStr">
        <is>
          <t>Active candidates in pipeline</t>
        </is>
      </c>
      <c r="C6" s="4" t="n"/>
      <c r="D6" s="4" t="n"/>
      <c r="F6" s="19">
        <f>"Attendance Rate: " &amp; TEXT(IFERROR(COUNTIF(H9:H65,"Yes")/COUNTA(B9:B65),0),"0.0%")</f>
        <v/>
      </c>
      <c r="G6" s="6" t="n"/>
      <c r="H6" s="6" t="n"/>
      <c r="J6" s="20" t="inlineStr">
        <is>
          <t>Currently processing modules</t>
        </is>
      </c>
      <c r="K6" s="8" t="n"/>
      <c r="L6" s="8" t="n"/>
      <c r="N6" s="21">
        <f>"Completion Rate: " &amp; TEXT(IFERROR(COUNTIF(L9:L65,"Yes")/COUNTIF(H9:H65,"Yes"),0),"0.0%")</f>
        <v/>
      </c>
      <c r="O6" s="10" t="n"/>
      <c r="P6" s="10" t="n"/>
      <c r="R6" s="22" t="inlineStr">
        <is>
          <t>Total Recruits -&gt; LMS Certified</t>
        </is>
      </c>
      <c r="S6" s="12" t="n"/>
    </row>
    <row r="7" ht="22" customHeight="1">
      <c r="A7" s="23" t="inlineStr">
        <is>
          <t>CANDIDATE INFORMATION</t>
        </is>
      </c>
      <c r="B7" s="23" t="n"/>
      <c r="C7" s="23" t="n"/>
      <c r="D7" s="23" t="n"/>
      <c r="E7" s="23" t="n"/>
      <c r="F7" s="23" t="n"/>
      <c r="G7" s="24" t="inlineStr">
        <is>
          <t>STAGE 1: ADD (AGENCY DISCOVERY DAY)</t>
        </is>
      </c>
      <c r="H7" s="24" t="n"/>
      <c r="I7" s="24" t="n"/>
      <c r="J7" s="24" t="n"/>
      <c r="K7" s="25" t="inlineStr">
        <is>
          <t>STAGE 2: LMS (LEARNING MANAGEMENT SYSTEM)</t>
        </is>
      </c>
      <c r="L7" s="25" t="n"/>
      <c r="M7" s="25" t="n"/>
      <c r="N7" s="25" t="n"/>
      <c r="O7" s="25" t="n"/>
      <c r="P7" s="26" t="inlineStr">
        <is>
          <t>PIPELINE STATUS &amp; NEXT ACTIONS</t>
        </is>
      </c>
      <c r="Q7" s="26" t="n"/>
      <c r="R7" s="26" t="n"/>
      <c r="S7" s="26" t="n"/>
    </row>
    <row r="8" ht="30" customHeight="1">
      <c r="A8" s="27" t="inlineStr">
        <is>
          <t>Recruit ID</t>
        </is>
      </c>
      <c r="B8" s="28" t="inlineStr">
        <is>
          <t>Complete Name</t>
        </is>
      </c>
      <c r="C8" s="27" t="inlineStr">
        <is>
          <t>Contact Number</t>
        </is>
      </c>
      <c r="D8" s="28" t="inlineStr">
        <is>
          <t>Email Address</t>
        </is>
      </c>
      <c r="E8" s="28" t="inlineStr">
        <is>
          <t>Sourced By</t>
        </is>
      </c>
      <c r="F8" s="27" t="inlineStr">
        <is>
          <t>Date Sourced</t>
        </is>
      </c>
      <c r="G8" s="29" t="inlineStr">
        <is>
          <t>ADD Scheduled Date</t>
        </is>
      </c>
      <c r="H8" s="29" t="inlineStr">
        <is>
          <t>Attended ADD?</t>
        </is>
      </c>
      <c r="I8" s="29" t="inlineStr">
        <is>
          <t>ADD Attendance Date</t>
        </is>
      </c>
      <c r="J8" s="30" t="inlineStr">
        <is>
          <t>ADD Remarks / Feedback</t>
        </is>
      </c>
      <c r="K8" s="31" t="inlineStr">
        <is>
          <t>LMS Access Date</t>
        </is>
      </c>
      <c r="L8" s="31" t="inlineStr">
        <is>
          <t>Completed LMS?</t>
        </is>
      </c>
      <c r="M8" s="31" t="inlineStr">
        <is>
          <t>LMS Completion Date</t>
        </is>
      </c>
      <c r="N8" s="31" t="inlineStr">
        <is>
          <t>LMS Progress %</t>
        </is>
      </c>
      <c r="O8" s="32" t="inlineStr">
        <is>
          <t>LMS Score / Certificate</t>
        </is>
      </c>
      <c r="P8" s="33" t="inlineStr">
        <is>
          <t>Current Pipeline Stage</t>
        </is>
      </c>
      <c r="Q8" s="34" t="inlineStr">
        <is>
          <t>Next Action Required</t>
        </is>
      </c>
      <c r="R8" s="33" t="inlineStr">
        <is>
          <t>Target Follow-up Date</t>
        </is>
      </c>
      <c r="S8" s="34" t="inlineStr">
        <is>
          <t>Recruiter Notes</t>
        </is>
      </c>
    </row>
    <row r="9" ht="22" customHeight="1">
      <c r="A9" s="35" t="inlineStr">
        <is>
          <t>REC-001</t>
        </is>
      </c>
      <c r="B9" s="36" t="inlineStr">
        <is>
          <t>Grandes, Maybe</t>
        </is>
      </c>
      <c r="C9" s="35" t="inlineStr"/>
      <c r="D9" s="36" t="inlineStr"/>
      <c r="E9" s="36" t="inlineStr">
        <is>
          <t>Cedric (cedric.axa1@gmail.com)</t>
        </is>
      </c>
      <c r="F9" s="37" t="n">
        <v>46279</v>
      </c>
      <c r="G9" s="37" t="n">
        <v>46279</v>
      </c>
      <c r="H9" s="35" t="inlineStr">
        <is>
          <t>Yes</t>
        </is>
      </c>
      <c r="I9" s="37" t="n">
        <v>46279</v>
      </c>
      <c r="J9" s="36" t="inlineStr">
        <is>
          <t>Attended ADD on Sept 14; confirmed proceeding with LMS training.</t>
        </is>
      </c>
      <c r="K9" s="37" t="n">
        <v>46280</v>
      </c>
      <c r="L9" s="35" t="inlineStr">
        <is>
          <t>In Progress</t>
        </is>
      </c>
      <c r="M9" s="37" t="n"/>
      <c r="N9" s="38" t="n">
        <v>0</v>
      </c>
      <c r="O9" s="36" t="inlineStr">
        <is>
          <t>Account registration in progress</t>
        </is>
      </c>
      <c r="P9" s="35">
        <f>IF(B9="","",IF(L9="Yes","LMS Completed (Ready for Exam)",IF(L9="In Progress","LMS In Progress",IF(H9="Yes","ADD Attended - Awaiting LMS",IF(H9="Rescheduled","ADD Rescheduled",IF(H9="Pending","ADD Scheduled",IF(H9="No","ADD Missed - Follow Up","Initial Prospect")))))))</f>
        <v/>
      </c>
      <c r="Q9" s="36" t="inlineStr">
        <is>
          <t>Process LMS portal registration &amp; send login access link today</t>
        </is>
      </c>
      <c r="R9" s="37" t="n">
        <v>46280</v>
      </c>
      <c r="S9" s="36" t="inlineStr">
        <is>
          <t>Attended ADD yesterday Sept 14, 2026. Processing her LMS onboarding today.</t>
        </is>
      </c>
    </row>
    <row r="10" ht="22" customHeight="1">
      <c r="A10" s="39" t="inlineStr">
        <is>
          <t>REC-002</t>
        </is>
      </c>
      <c r="B10" s="40" t="inlineStr">
        <is>
          <t>Bagiuos, Michael</t>
        </is>
      </c>
      <c r="C10" s="39" t="inlineStr"/>
      <c r="D10" s="40" t="inlineStr"/>
      <c r="E10" s="40" t="inlineStr">
        <is>
          <t>Cedric (cedric.axa1@gmail.com)</t>
        </is>
      </c>
      <c r="F10" s="41" t="n">
        <v>46279</v>
      </c>
      <c r="G10" s="41" t="n">
        <v>46279</v>
      </c>
      <c r="H10" s="39" t="inlineStr">
        <is>
          <t>Yes</t>
        </is>
      </c>
      <c r="I10" s="41" t="n">
        <v>46279</v>
      </c>
      <c r="J10" s="40" t="inlineStr">
        <is>
          <t>Attended ADD on Sept 14; not yet processing LMS.</t>
        </is>
      </c>
      <c r="K10" s="41" t="n"/>
      <c r="L10" s="39" t="inlineStr">
        <is>
          <t>Not Started</t>
        </is>
      </c>
      <c r="M10" s="41" t="n"/>
      <c r="N10" s="42" t="n">
        <v>0</v>
      </c>
      <c r="O10" s="40" t="inlineStr"/>
      <c r="P10" s="39">
        <f>IF(B10="","",IF(L10="Yes","LMS Completed (Ready for Exam)",IF(L10="In Progress","LMS In Progress",IF(H10="Yes","ADD Attended - Awaiting LMS",IF(H10="Rescheduled","ADD Rescheduled",IF(H10="Pending","ADD Scheduled",IF(H10="No","ADD Missed - Follow Up","Initial Prospect")))))))</f>
        <v/>
      </c>
      <c r="Q10" s="40" t="inlineStr">
        <is>
          <t>Follow up on ADD feedback &amp; check readiness to process LMS</t>
        </is>
      </c>
      <c r="R10" s="41" t="n">
        <v>46281</v>
      </c>
      <c r="S10" s="40" t="inlineStr">
        <is>
          <t>Attended ADD yesterday Sept 14, 2026. Pending decision to proceed with LMS.</t>
        </is>
      </c>
    </row>
    <row r="11" ht="22" customHeight="1">
      <c r="A11" s="35" t="inlineStr">
        <is>
          <t>REC-003</t>
        </is>
      </c>
      <c r="B11" s="36" t="inlineStr">
        <is>
          <t>Barilea, Alona</t>
        </is>
      </c>
      <c r="C11" s="35" t="inlineStr"/>
      <c r="D11" s="36" t="inlineStr"/>
      <c r="E11" s="36" t="inlineStr">
        <is>
          <t>Cedric (cedric.axa1@gmail.com)</t>
        </is>
      </c>
      <c r="F11" s="37" t="n">
        <v>46279</v>
      </c>
      <c r="G11" s="37" t="n">
        <v>46279</v>
      </c>
      <c r="H11" s="35" t="inlineStr">
        <is>
          <t>Yes</t>
        </is>
      </c>
      <c r="I11" s="37" t="n">
        <v>46279</v>
      </c>
      <c r="J11" s="36" t="inlineStr">
        <is>
          <t>Attended ADD on Sept 14; not yet processing LMS.</t>
        </is>
      </c>
      <c r="K11" s="37" t="n"/>
      <c r="L11" s="35" t="inlineStr">
        <is>
          <t>Not Started</t>
        </is>
      </c>
      <c r="M11" s="37" t="n"/>
      <c r="N11" s="38" t="n">
        <v>0</v>
      </c>
      <c r="O11" s="36" t="inlineStr"/>
      <c r="P11" s="35">
        <f>IF(B11="","",IF(L11="Yes","LMS Completed (Ready for Exam)",IF(L11="In Progress","LMS In Progress",IF(H11="Yes","ADD Attended - Awaiting LMS",IF(H11="Rescheduled","ADD Rescheduled",IF(H11="Pending","ADD Scheduled",IF(H11="No","ADD Missed - Follow Up","Initial Prospect")))))))</f>
        <v/>
      </c>
      <c r="Q11" s="36" t="inlineStr">
        <is>
          <t>Follow up on ADD feedback &amp; check readiness to process LMS</t>
        </is>
      </c>
      <c r="R11" s="37" t="n">
        <v>46281</v>
      </c>
      <c r="S11" s="36" t="inlineStr">
        <is>
          <t>Attended ADD yesterday Sept 14, 2026. Pending decision to proceed with LMS.</t>
        </is>
      </c>
    </row>
    <row r="12" ht="22" customHeight="1">
      <c r="A12" s="39" t="inlineStr">
        <is>
          <t>REC-004</t>
        </is>
      </c>
      <c r="B12" s="40" t="inlineStr">
        <is>
          <t>Garrucha, Lorenz</t>
        </is>
      </c>
      <c r="C12" s="39" t="inlineStr"/>
      <c r="D12" s="40" t="inlineStr"/>
      <c r="E12" s="40" t="inlineStr">
        <is>
          <t>Cedric (cedric.axa1@gmail.com)</t>
        </is>
      </c>
      <c r="F12" s="41" t="n">
        <v>46279</v>
      </c>
      <c r="G12" s="41" t="n">
        <v>46279</v>
      </c>
      <c r="H12" s="39" t="inlineStr">
        <is>
          <t>Yes</t>
        </is>
      </c>
      <c r="I12" s="41" t="n">
        <v>46279</v>
      </c>
      <c r="J12" s="40" t="inlineStr">
        <is>
          <t>Attended ADD on Sept 14; not yet processing LMS.</t>
        </is>
      </c>
      <c r="K12" s="41" t="n"/>
      <c r="L12" s="39" t="inlineStr">
        <is>
          <t>Not Started</t>
        </is>
      </c>
      <c r="M12" s="41" t="n"/>
      <c r="N12" s="42" t="n">
        <v>0</v>
      </c>
      <c r="O12" s="40" t="inlineStr"/>
      <c r="P12" s="39">
        <f>IF(B12="","",IF(L12="Yes","LMS Completed (Ready for Exam)",IF(L12="In Progress","LMS In Progress",IF(H12="Yes","ADD Attended - Awaiting LMS",IF(H12="Rescheduled","ADD Rescheduled",IF(H12="Pending","ADD Scheduled",IF(H12="No","ADD Missed - Follow Up","Initial Prospect")))))))</f>
        <v/>
      </c>
      <c r="Q12" s="40" t="inlineStr">
        <is>
          <t>Follow up on ADD feedback &amp; check readiness to process LMS</t>
        </is>
      </c>
      <c r="R12" s="41" t="n">
        <v>46281</v>
      </c>
      <c r="S12" s="40" t="inlineStr">
        <is>
          <t>Attended ADD yesterday Sept 14, 2026. Pending decision to proceed with LMS.</t>
        </is>
      </c>
    </row>
    <row r="13" ht="22" customHeight="1">
      <c r="A13" s="35" t="inlineStr">
        <is>
          <t>REC-005</t>
        </is>
      </c>
      <c r="B13" s="36" t="inlineStr">
        <is>
          <t>Ambos, Princess</t>
        </is>
      </c>
      <c r="C13" s="35" t="inlineStr"/>
      <c r="D13" s="36" t="inlineStr"/>
      <c r="E13" s="36" t="inlineStr">
        <is>
          <t>Cedric (cedric.axa1@gmail.com)</t>
        </is>
      </c>
      <c r="F13" s="37" t="n">
        <v>46279</v>
      </c>
      <c r="G13" s="37" t="n">
        <v>46279</v>
      </c>
      <c r="H13" s="35" t="inlineStr">
        <is>
          <t>Yes</t>
        </is>
      </c>
      <c r="I13" s="37" t="n">
        <v>46279</v>
      </c>
      <c r="J13" s="36" t="inlineStr">
        <is>
          <t>Attended ADD on Sept 14; not yet processing LMS.</t>
        </is>
      </c>
      <c r="K13" s="37" t="n"/>
      <c r="L13" s="35" t="inlineStr">
        <is>
          <t>Not Started</t>
        </is>
      </c>
      <c r="M13" s="37" t="n"/>
      <c r="N13" s="38" t="n">
        <v>0</v>
      </c>
      <c r="O13" s="36" t="inlineStr"/>
      <c r="P13" s="35">
        <f>IF(B13="","",IF(L13="Yes","LMS Completed (Ready for Exam)",IF(L13="In Progress","LMS In Progress",IF(H13="Yes","ADD Attended - Awaiting LMS",IF(H13="Rescheduled","ADD Rescheduled",IF(H13="Pending","ADD Scheduled",IF(H13="No","ADD Missed - Follow Up","Initial Prospect")))))))</f>
        <v/>
      </c>
      <c r="Q13" s="36" t="inlineStr">
        <is>
          <t>Follow up on ADD feedback &amp; check readiness to process LMS</t>
        </is>
      </c>
      <c r="R13" s="37" t="n">
        <v>46281</v>
      </c>
      <c r="S13" s="36" t="inlineStr">
        <is>
          <t>Attended ADD yesterday Sept 14, 2026. Pending decision to proceed with LMS.</t>
        </is>
      </c>
    </row>
    <row r="14" ht="22" customHeight="1">
      <c r="A14" s="39" t="inlineStr">
        <is>
          <t>REC-006</t>
        </is>
      </c>
      <c r="B14" s="40" t="inlineStr">
        <is>
          <t>Montano, Jezreel Kate</t>
        </is>
      </c>
      <c r="C14" s="39" t="inlineStr"/>
      <c r="D14" s="40" t="inlineStr"/>
      <c r="E14" s="40" t="inlineStr">
        <is>
          <t>Cedric (cedric.axa1@gmail.com)</t>
        </is>
      </c>
      <c r="F14" s="41" t="n">
        <v>46279</v>
      </c>
      <c r="G14" s="41" t="n">
        <v>46279</v>
      </c>
      <c r="H14" s="39" t="inlineStr">
        <is>
          <t>Yes</t>
        </is>
      </c>
      <c r="I14" s="41" t="n">
        <v>46279</v>
      </c>
      <c r="J14" s="40" t="inlineStr">
        <is>
          <t>Attended ADD on Sept 14; not yet processing LMS.</t>
        </is>
      </c>
      <c r="K14" s="41" t="n"/>
      <c r="L14" s="39" t="inlineStr">
        <is>
          <t>Not Started</t>
        </is>
      </c>
      <c r="M14" s="41" t="n"/>
      <c r="N14" s="42" t="n">
        <v>0</v>
      </c>
      <c r="O14" s="40" t="inlineStr"/>
      <c r="P14" s="39">
        <f>IF(B14="","",IF(L14="Yes","LMS Completed (Ready for Exam)",IF(L14="In Progress","LMS In Progress",IF(H14="Yes","ADD Attended - Awaiting LMS",IF(H14="Rescheduled","ADD Rescheduled",IF(H14="Pending","ADD Scheduled",IF(H14="No","ADD Missed - Follow Up","Initial Prospect")))))))</f>
        <v/>
      </c>
      <c r="Q14" s="40" t="inlineStr">
        <is>
          <t>Follow up on ADD feedback &amp; check readiness to process LMS</t>
        </is>
      </c>
      <c r="R14" s="41" t="n">
        <v>46281</v>
      </c>
      <c r="S14" s="40" t="inlineStr">
        <is>
          <t>Attended ADD yesterday Sept 14, 2026. Pending decision to proceed with LMS.</t>
        </is>
      </c>
    </row>
    <row r="15" ht="22" customHeight="1">
      <c r="A15" s="35">
        <f>IF(B15="","","REC-"&amp;TEXT(15-8,"000"))</f>
        <v/>
      </c>
      <c r="B15" s="36" t="inlineStr"/>
      <c r="C15" s="35" t="inlineStr"/>
      <c r="D15" s="36" t="inlineStr"/>
      <c r="E15" s="36" t="inlineStr"/>
      <c r="F15" s="37" t="n"/>
      <c r="G15" s="37" t="n"/>
      <c r="H15" s="35" t="inlineStr"/>
      <c r="I15" s="37" t="n"/>
      <c r="J15" s="36" t="inlineStr"/>
      <c r="K15" s="37" t="n"/>
      <c r="L15" s="35" t="inlineStr"/>
      <c r="M15" s="37" t="n"/>
      <c r="N15" s="38" t="n"/>
      <c r="O15" s="36" t="inlineStr"/>
      <c r="P15" s="35">
        <f>IF(B15="","",IF(L15="Yes","LMS Completed (Ready for Exam)",IF(L15="In Progress","LMS In Progress",IF(H15="Yes","ADD Attended - Awaiting LMS",IF(H15="Rescheduled","ADD Rescheduled",IF(H15="Pending","ADD Scheduled",IF(H15="No","ADD Missed - Follow Up","Initial Prospect")))))))</f>
        <v/>
      </c>
      <c r="Q15" s="36" t="inlineStr"/>
      <c r="R15" s="37" t="n"/>
      <c r="S15" s="36" t="inlineStr"/>
    </row>
    <row r="16" ht="22" customHeight="1">
      <c r="A16" s="39">
        <f>IF(B16="","","REC-"&amp;TEXT(16-8,"000"))</f>
        <v/>
      </c>
      <c r="B16" s="40" t="inlineStr"/>
      <c r="C16" s="39" t="inlineStr"/>
      <c r="D16" s="40" t="inlineStr"/>
      <c r="E16" s="40" t="inlineStr"/>
      <c r="F16" s="41" t="n"/>
      <c r="G16" s="41" t="n"/>
      <c r="H16" s="39" t="inlineStr"/>
      <c r="I16" s="41" t="n"/>
      <c r="J16" s="40" t="inlineStr"/>
      <c r="K16" s="41" t="n"/>
      <c r="L16" s="39" t="inlineStr"/>
      <c r="M16" s="41" t="n"/>
      <c r="N16" s="42" t="n"/>
      <c r="O16" s="40" t="inlineStr"/>
      <c r="P16" s="39">
        <f>IF(B16="","",IF(L16="Yes","LMS Completed (Ready for Exam)",IF(L16="In Progress","LMS In Progress",IF(H16="Yes","ADD Attended - Awaiting LMS",IF(H16="Rescheduled","ADD Rescheduled",IF(H16="Pending","ADD Scheduled",IF(H16="No","ADD Missed - Follow Up","Initial Prospect")))))))</f>
        <v/>
      </c>
      <c r="Q16" s="40" t="inlineStr"/>
      <c r="R16" s="41" t="n"/>
      <c r="S16" s="40" t="inlineStr"/>
    </row>
    <row r="17" ht="22" customHeight="1">
      <c r="A17" s="35">
        <f>IF(B17="","","REC-"&amp;TEXT(17-8,"000"))</f>
        <v/>
      </c>
      <c r="B17" s="36" t="inlineStr"/>
      <c r="C17" s="35" t="inlineStr"/>
      <c r="D17" s="36" t="inlineStr"/>
      <c r="E17" s="36" t="inlineStr"/>
      <c r="F17" s="37" t="n"/>
      <c r="G17" s="37" t="n"/>
      <c r="H17" s="35" t="inlineStr"/>
      <c r="I17" s="37" t="n"/>
      <c r="J17" s="36" t="inlineStr"/>
      <c r="K17" s="37" t="n"/>
      <c r="L17" s="35" t="inlineStr"/>
      <c r="M17" s="37" t="n"/>
      <c r="N17" s="38" t="n"/>
      <c r="O17" s="36" t="inlineStr"/>
      <c r="P17" s="35">
        <f>IF(B17="","",IF(L17="Yes","LMS Completed (Ready for Exam)",IF(L17="In Progress","LMS In Progress",IF(H17="Yes","ADD Attended - Awaiting LMS",IF(H17="Rescheduled","ADD Rescheduled",IF(H17="Pending","ADD Scheduled",IF(H17="No","ADD Missed - Follow Up","Initial Prospect")))))))</f>
        <v/>
      </c>
      <c r="Q17" s="36" t="inlineStr"/>
      <c r="R17" s="37" t="n"/>
      <c r="S17" s="36" t="inlineStr"/>
    </row>
    <row r="18" ht="22" customHeight="1">
      <c r="A18" s="39">
        <f>IF(B18="","","REC-"&amp;TEXT(18-8,"000"))</f>
        <v/>
      </c>
      <c r="B18" s="40" t="inlineStr"/>
      <c r="C18" s="39" t="inlineStr"/>
      <c r="D18" s="40" t="inlineStr"/>
      <c r="E18" s="40" t="inlineStr"/>
      <c r="F18" s="41" t="n"/>
      <c r="G18" s="41" t="n"/>
      <c r="H18" s="39" t="inlineStr"/>
      <c r="I18" s="41" t="n"/>
      <c r="J18" s="40" t="inlineStr"/>
      <c r="K18" s="41" t="n"/>
      <c r="L18" s="39" t="inlineStr"/>
      <c r="M18" s="41" t="n"/>
      <c r="N18" s="42" t="n"/>
      <c r="O18" s="40" t="inlineStr"/>
      <c r="P18" s="39">
        <f>IF(B18="","",IF(L18="Yes","LMS Completed (Ready for Exam)",IF(L18="In Progress","LMS In Progress",IF(H18="Yes","ADD Attended - Awaiting LMS",IF(H18="Rescheduled","ADD Rescheduled",IF(H18="Pending","ADD Scheduled",IF(H18="No","ADD Missed - Follow Up","Initial Prospect")))))))</f>
        <v/>
      </c>
      <c r="Q18" s="40" t="inlineStr"/>
      <c r="R18" s="41" t="n"/>
      <c r="S18" s="40" t="inlineStr"/>
    </row>
    <row r="19" ht="22" customHeight="1">
      <c r="A19" s="35">
        <f>IF(B19="","","REC-"&amp;TEXT(19-8,"000"))</f>
        <v/>
      </c>
      <c r="B19" s="36" t="inlineStr"/>
      <c r="C19" s="35" t="inlineStr"/>
      <c r="D19" s="36" t="inlineStr"/>
      <c r="E19" s="36" t="inlineStr"/>
      <c r="F19" s="37" t="n"/>
      <c r="G19" s="37" t="n"/>
      <c r="H19" s="35" t="inlineStr"/>
      <c r="I19" s="37" t="n"/>
      <c r="J19" s="36" t="inlineStr"/>
      <c r="K19" s="37" t="n"/>
      <c r="L19" s="35" t="inlineStr"/>
      <c r="M19" s="37" t="n"/>
      <c r="N19" s="38" t="n"/>
      <c r="O19" s="36" t="inlineStr"/>
      <c r="P19" s="35">
        <f>IF(B19="","",IF(L19="Yes","LMS Completed (Ready for Exam)",IF(L19="In Progress","LMS In Progress",IF(H19="Yes","ADD Attended - Awaiting LMS",IF(H19="Rescheduled","ADD Rescheduled",IF(H19="Pending","ADD Scheduled",IF(H19="No","ADD Missed - Follow Up","Initial Prospect")))))))</f>
        <v/>
      </c>
      <c r="Q19" s="36" t="inlineStr"/>
      <c r="R19" s="37" t="n"/>
      <c r="S19" s="36" t="inlineStr"/>
    </row>
    <row r="20" ht="22" customHeight="1">
      <c r="A20" s="39">
        <f>IF(B20="","","REC-"&amp;TEXT(20-8,"000"))</f>
        <v/>
      </c>
      <c r="B20" s="40" t="inlineStr"/>
      <c r="C20" s="39" t="inlineStr"/>
      <c r="D20" s="40" t="inlineStr"/>
      <c r="E20" s="40" t="inlineStr"/>
      <c r="F20" s="41" t="n"/>
      <c r="G20" s="41" t="n"/>
      <c r="H20" s="39" t="inlineStr"/>
      <c r="I20" s="41" t="n"/>
      <c r="J20" s="40" t="inlineStr"/>
      <c r="K20" s="41" t="n"/>
      <c r="L20" s="39" t="inlineStr"/>
      <c r="M20" s="41" t="n"/>
      <c r="N20" s="42" t="n"/>
      <c r="O20" s="40" t="inlineStr"/>
      <c r="P20" s="39">
        <f>IF(B20="","",IF(L20="Yes","LMS Completed (Ready for Exam)",IF(L20="In Progress","LMS In Progress",IF(H20="Yes","ADD Attended - Awaiting LMS",IF(H20="Rescheduled","ADD Rescheduled",IF(H20="Pending","ADD Scheduled",IF(H20="No","ADD Missed - Follow Up","Initial Prospect")))))))</f>
        <v/>
      </c>
      <c r="Q20" s="40" t="inlineStr"/>
      <c r="R20" s="41" t="n"/>
      <c r="S20" s="40" t="inlineStr"/>
    </row>
    <row r="21" ht="22" customHeight="1">
      <c r="A21" s="35">
        <f>IF(B21="","","REC-"&amp;TEXT(21-8,"000"))</f>
        <v/>
      </c>
      <c r="B21" s="36" t="inlineStr"/>
      <c r="C21" s="35" t="inlineStr"/>
      <c r="D21" s="36" t="inlineStr"/>
      <c r="E21" s="36" t="inlineStr"/>
      <c r="F21" s="37" t="n"/>
      <c r="G21" s="37" t="n"/>
      <c r="H21" s="35" t="inlineStr"/>
      <c r="I21" s="37" t="n"/>
      <c r="J21" s="36" t="inlineStr"/>
      <c r="K21" s="37" t="n"/>
      <c r="L21" s="35" t="inlineStr"/>
      <c r="M21" s="37" t="n"/>
      <c r="N21" s="38" t="n"/>
      <c r="O21" s="36" t="inlineStr"/>
      <c r="P21" s="35">
        <f>IF(B21="","",IF(L21="Yes","LMS Completed (Ready for Exam)",IF(L21="In Progress","LMS In Progress",IF(H21="Yes","ADD Attended - Awaiting LMS",IF(H21="Rescheduled","ADD Rescheduled",IF(H21="Pending","ADD Scheduled",IF(H21="No","ADD Missed - Follow Up","Initial Prospect")))))))</f>
        <v/>
      </c>
      <c r="Q21" s="36" t="inlineStr"/>
      <c r="R21" s="37" t="n"/>
      <c r="S21" s="36" t="inlineStr"/>
    </row>
    <row r="22" ht="22" customHeight="1">
      <c r="A22" s="39">
        <f>IF(B22="","","REC-"&amp;TEXT(22-8,"000"))</f>
        <v/>
      </c>
      <c r="B22" s="40" t="inlineStr"/>
      <c r="C22" s="39" t="inlineStr"/>
      <c r="D22" s="40" t="inlineStr"/>
      <c r="E22" s="40" t="inlineStr"/>
      <c r="F22" s="41" t="n"/>
      <c r="G22" s="41" t="n"/>
      <c r="H22" s="39" t="inlineStr"/>
      <c r="I22" s="41" t="n"/>
      <c r="J22" s="40" t="inlineStr"/>
      <c r="K22" s="41" t="n"/>
      <c r="L22" s="39" t="inlineStr"/>
      <c r="M22" s="41" t="n"/>
      <c r="N22" s="42" t="n"/>
      <c r="O22" s="40" t="inlineStr"/>
      <c r="P22" s="39">
        <f>IF(B22="","",IF(L22="Yes","LMS Completed (Ready for Exam)",IF(L22="In Progress","LMS In Progress",IF(H22="Yes","ADD Attended - Awaiting LMS",IF(H22="Rescheduled","ADD Rescheduled",IF(H22="Pending","ADD Scheduled",IF(H22="No","ADD Missed - Follow Up","Initial Prospect")))))))</f>
        <v/>
      </c>
      <c r="Q22" s="40" t="inlineStr"/>
      <c r="R22" s="41" t="n"/>
      <c r="S22" s="40" t="inlineStr"/>
    </row>
    <row r="23" ht="22" customHeight="1">
      <c r="A23" s="35">
        <f>IF(B23="","","REC-"&amp;TEXT(23-8,"000"))</f>
        <v/>
      </c>
      <c r="B23" s="36" t="inlineStr"/>
      <c r="C23" s="35" t="inlineStr"/>
      <c r="D23" s="36" t="inlineStr"/>
      <c r="E23" s="36" t="inlineStr"/>
      <c r="F23" s="37" t="n"/>
      <c r="G23" s="37" t="n"/>
      <c r="H23" s="35" t="inlineStr"/>
      <c r="I23" s="37" t="n"/>
      <c r="J23" s="36" t="inlineStr"/>
      <c r="K23" s="37" t="n"/>
      <c r="L23" s="35" t="inlineStr"/>
      <c r="M23" s="37" t="n"/>
      <c r="N23" s="38" t="n"/>
      <c r="O23" s="36" t="inlineStr"/>
      <c r="P23" s="35">
        <f>IF(B23="","",IF(L23="Yes","LMS Completed (Ready for Exam)",IF(L23="In Progress","LMS In Progress",IF(H23="Yes","ADD Attended - Awaiting LMS",IF(H23="Rescheduled","ADD Rescheduled",IF(H23="Pending","ADD Scheduled",IF(H23="No","ADD Missed - Follow Up","Initial Prospect")))))))</f>
        <v/>
      </c>
      <c r="Q23" s="36" t="inlineStr"/>
      <c r="R23" s="37" t="n"/>
      <c r="S23" s="36" t="inlineStr"/>
    </row>
    <row r="24" ht="22" customHeight="1">
      <c r="A24" s="39">
        <f>IF(B24="","","REC-"&amp;TEXT(24-8,"000"))</f>
        <v/>
      </c>
      <c r="B24" s="40" t="inlineStr"/>
      <c r="C24" s="39" t="inlineStr"/>
      <c r="D24" s="40" t="inlineStr"/>
      <c r="E24" s="40" t="inlineStr"/>
      <c r="F24" s="41" t="n"/>
      <c r="G24" s="41" t="n"/>
      <c r="H24" s="39" t="inlineStr"/>
      <c r="I24" s="41" t="n"/>
      <c r="J24" s="40" t="inlineStr"/>
      <c r="K24" s="41" t="n"/>
      <c r="L24" s="39" t="inlineStr"/>
      <c r="M24" s="41" t="n"/>
      <c r="N24" s="42" t="n"/>
      <c r="O24" s="40" t="inlineStr"/>
      <c r="P24" s="39">
        <f>IF(B24="","",IF(L24="Yes","LMS Completed (Ready for Exam)",IF(L24="In Progress","LMS In Progress",IF(H24="Yes","ADD Attended - Awaiting LMS",IF(H24="Rescheduled","ADD Rescheduled",IF(H24="Pending","ADD Scheduled",IF(H24="No","ADD Missed - Follow Up","Initial Prospect")))))))</f>
        <v/>
      </c>
      <c r="Q24" s="40" t="inlineStr"/>
      <c r="R24" s="41" t="n"/>
      <c r="S24" s="40" t="inlineStr"/>
    </row>
    <row r="25" ht="22" customHeight="1">
      <c r="A25" s="35">
        <f>IF(B25="","","REC-"&amp;TEXT(25-8,"000"))</f>
        <v/>
      </c>
      <c r="B25" s="36" t="inlineStr"/>
      <c r="C25" s="35" t="inlineStr"/>
      <c r="D25" s="36" t="inlineStr"/>
      <c r="E25" s="36" t="inlineStr"/>
      <c r="F25" s="37" t="n"/>
      <c r="G25" s="37" t="n"/>
      <c r="H25" s="35" t="inlineStr"/>
      <c r="I25" s="37" t="n"/>
      <c r="J25" s="36" t="inlineStr"/>
      <c r="K25" s="37" t="n"/>
      <c r="L25" s="35" t="inlineStr"/>
      <c r="M25" s="37" t="n"/>
      <c r="N25" s="38" t="n"/>
      <c r="O25" s="36" t="inlineStr"/>
      <c r="P25" s="35">
        <f>IF(B25="","",IF(L25="Yes","LMS Completed (Ready for Exam)",IF(L25="In Progress","LMS In Progress",IF(H25="Yes","ADD Attended - Awaiting LMS",IF(H25="Rescheduled","ADD Rescheduled",IF(H25="Pending","ADD Scheduled",IF(H25="No","ADD Missed - Follow Up","Initial Prospect")))))))</f>
        <v/>
      </c>
      <c r="Q25" s="36" t="inlineStr"/>
      <c r="R25" s="37" t="n"/>
      <c r="S25" s="36" t="inlineStr"/>
    </row>
    <row r="26" ht="22" customHeight="1">
      <c r="A26" s="39">
        <f>IF(B26="","","REC-"&amp;TEXT(26-8,"000"))</f>
        <v/>
      </c>
      <c r="B26" s="40" t="inlineStr"/>
      <c r="C26" s="39" t="inlineStr"/>
      <c r="D26" s="40" t="inlineStr"/>
      <c r="E26" s="40" t="inlineStr"/>
      <c r="F26" s="41" t="n"/>
      <c r="G26" s="41" t="n"/>
      <c r="H26" s="39" t="inlineStr"/>
      <c r="I26" s="41" t="n"/>
      <c r="J26" s="40" t="inlineStr"/>
      <c r="K26" s="41" t="n"/>
      <c r="L26" s="39" t="inlineStr"/>
      <c r="M26" s="41" t="n"/>
      <c r="N26" s="42" t="n"/>
      <c r="O26" s="40" t="inlineStr"/>
      <c r="P26" s="39">
        <f>IF(B26="","",IF(L26="Yes","LMS Completed (Ready for Exam)",IF(L26="In Progress","LMS In Progress",IF(H26="Yes","ADD Attended - Awaiting LMS",IF(H26="Rescheduled","ADD Rescheduled",IF(H26="Pending","ADD Scheduled",IF(H26="No","ADD Missed - Follow Up","Initial Prospect")))))))</f>
        <v/>
      </c>
      <c r="Q26" s="40" t="inlineStr"/>
      <c r="R26" s="41" t="n"/>
      <c r="S26" s="40" t="inlineStr"/>
    </row>
    <row r="27" ht="22" customHeight="1">
      <c r="A27" s="35">
        <f>IF(B27="","","REC-"&amp;TEXT(27-8,"000"))</f>
        <v/>
      </c>
      <c r="B27" s="36" t="inlineStr"/>
      <c r="C27" s="35" t="inlineStr"/>
      <c r="D27" s="36" t="inlineStr"/>
      <c r="E27" s="36" t="inlineStr"/>
      <c r="F27" s="37" t="n"/>
      <c r="G27" s="37" t="n"/>
      <c r="H27" s="35" t="inlineStr"/>
      <c r="I27" s="37" t="n"/>
      <c r="J27" s="36" t="inlineStr"/>
      <c r="K27" s="37" t="n"/>
      <c r="L27" s="35" t="inlineStr"/>
      <c r="M27" s="37" t="n"/>
      <c r="N27" s="38" t="n"/>
      <c r="O27" s="36" t="inlineStr"/>
      <c r="P27" s="35">
        <f>IF(B27="","",IF(L27="Yes","LMS Completed (Ready for Exam)",IF(L27="In Progress","LMS In Progress",IF(H27="Yes","ADD Attended - Awaiting LMS",IF(H27="Rescheduled","ADD Rescheduled",IF(H27="Pending","ADD Scheduled",IF(H27="No","ADD Missed - Follow Up","Initial Prospect")))))))</f>
        <v/>
      </c>
      <c r="Q27" s="36" t="inlineStr"/>
      <c r="R27" s="37" t="n"/>
      <c r="S27" s="36" t="inlineStr"/>
    </row>
    <row r="28" ht="22" customHeight="1">
      <c r="A28" s="39">
        <f>IF(B28="","","REC-"&amp;TEXT(28-8,"000"))</f>
        <v/>
      </c>
      <c r="B28" s="40" t="inlineStr"/>
      <c r="C28" s="39" t="inlineStr"/>
      <c r="D28" s="40" t="inlineStr"/>
      <c r="E28" s="40" t="inlineStr"/>
      <c r="F28" s="41" t="n"/>
      <c r="G28" s="41" t="n"/>
      <c r="H28" s="39" t="inlineStr"/>
      <c r="I28" s="41" t="n"/>
      <c r="J28" s="40" t="inlineStr"/>
      <c r="K28" s="41" t="n"/>
      <c r="L28" s="39" t="inlineStr"/>
      <c r="M28" s="41" t="n"/>
      <c r="N28" s="42" t="n"/>
      <c r="O28" s="40" t="inlineStr"/>
      <c r="P28" s="39">
        <f>IF(B28="","",IF(L28="Yes","LMS Completed (Ready for Exam)",IF(L28="In Progress","LMS In Progress",IF(H28="Yes","ADD Attended - Awaiting LMS",IF(H28="Rescheduled","ADD Rescheduled",IF(H28="Pending","ADD Scheduled",IF(H28="No","ADD Missed - Follow Up","Initial Prospect")))))))</f>
        <v/>
      </c>
      <c r="Q28" s="40" t="inlineStr"/>
      <c r="R28" s="41" t="n"/>
      <c r="S28" s="40" t="inlineStr"/>
    </row>
    <row r="29" ht="22" customHeight="1">
      <c r="A29" s="35">
        <f>IF(B29="","","REC-"&amp;TEXT(29-8,"000"))</f>
        <v/>
      </c>
      <c r="B29" s="36" t="inlineStr"/>
      <c r="C29" s="35" t="inlineStr"/>
      <c r="D29" s="36" t="inlineStr"/>
      <c r="E29" s="36" t="inlineStr"/>
      <c r="F29" s="37" t="n"/>
      <c r="G29" s="37" t="n"/>
      <c r="H29" s="35" t="inlineStr"/>
      <c r="I29" s="37" t="n"/>
      <c r="J29" s="36" t="inlineStr"/>
      <c r="K29" s="37" t="n"/>
      <c r="L29" s="35" t="inlineStr"/>
      <c r="M29" s="37" t="n"/>
      <c r="N29" s="38" t="n"/>
      <c r="O29" s="36" t="inlineStr"/>
      <c r="P29" s="35">
        <f>IF(B29="","",IF(L29="Yes","LMS Completed (Ready for Exam)",IF(L29="In Progress","LMS In Progress",IF(H29="Yes","ADD Attended - Awaiting LMS",IF(H29="Rescheduled","ADD Rescheduled",IF(H29="Pending","ADD Scheduled",IF(H29="No","ADD Missed - Follow Up","Initial Prospect")))))))</f>
        <v/>
      </c>
      <c r="Q29" s="36" t="inlineStr"/>
      <c r="R29" s="37" t="n"/>
      <c r="S29" s="36" t="inlineStr"/>
    </row>
    <row r="30" ht="22" customHeight="1">
      <c r="A30" s="39">
        <f>IF(B30="","","REC-"&amp;TEXT(30-8,"000"))</f>
        <v/>
      </c>
      <c r="B30" s="40" t="inlineStr"/>
      <c r="C30" s="39" t="inlineStr"/>
      <c r="D30" s="40" t="inlineStr"/>
      <c r="E30" s="40" t="inlineStr"/>
      <c r="F30" s="41" t="n"/>
      <c r="G30" s="41" t="n"/>
      <c r="H30" s="39" t="inlineStr"/>
      <c r="I30" s="41" t="n"/>
      <c r="J30" s="40" t="inlineStr"/>
      <c r="K30" s="41" t="n"/>
      <c r="L30" s="39" t="inlineStr"/>
      <c r="M30" s="41" t="n"/>
      <c r="N30" s="42" t="n"/>
      <c r="O30" s="40" t="inlineStr"/>
      <c r="P30" s="39">
        <f>IF(B30="","",IF(L30="Yes","LMS Completed (Ready for Exam)",IF(L30="In Progress","LMS In Progress",IF(H30="Yes","ADD Attended - Awaiting LMS",IF(H30="Rescheduled","ADD Rescheduled",IF(H30="Pending","ADD Scheduled",IF(H30="No","ADD Missed - Follow Up","Initial Prospect")))))))</f>
        <v/>
      </c>
      <c r="Q30" s="40" t="inlineStr"/>
      <c r="R30" s="41" t="n"/>
      <c r="S30" s="40" t="inlineStr"/>
    </row>
    <row r="31" ht="22" customHeight="1">
      <c r="A31" s="35">
        <f>IF(B31="","","REC-"&amp;TEXT(31-8,"000"))</f>
        <v/>
      </c>
      <c r="B31" s="36" t="inlineStr"/>
      <c r="C31" s="35" t="inlineStr"/>
      <c r="D31" s="36" t="inlineStr"/>
      <c r="E31" s="36" t="inlineStr"/>
      <c r="F31" s="37" t="n"/>
      <c r="G31" s="37" t="n"/>
      <c r="H31" s="35" t="inlineStr"/>
      <c r="I31" s="37" t="n"/>
      <c r="J31" s="36" t="inlineStr"/>
      <c r="K31" s="37" t="n"/>
      <c r="L31" s="35" t="inlineStr"/>
      <c r="M31" s="37" t="n"/>
      <c r="N31" s="38" t="n"/>
      <c r="O31" s="36" t="inlineStr"/>
      <c r="P31" s="35">
        <f>IF(B31="","",IF(L31="Yes","LMS Completed (Ready for Exam)",IF(L31="In Progress","LMS In Progress",IF(H31="Yes","ADD Attended - Awaiting LMS",IF(H31="Rescheduled","ADD Rescheduled",IF(H31="Pending","ADD Scheduled",IF(H31="No","ADD Missed - Follow Up","Initial Prospect")))))))</f>
        <v/>
      </c>
      <c r="Q31" s="36" t="inlineStr"/>
      <c r="R31" s="37" t="n"/>
      <c r="S31" s="36" t="inlineStr"/>
    </row>
    <row r="32" ht="22" customHeight="1">
      <c r="A32" s="39">
        <f>IF(B32="","","REC-"&amp;TEXT(32-8,"000"))</f>
        <v/>
      </c>
      <c r="B32" s="40" t="inlineStr"/>
      <c r="C32" s="39" t="inlineStr"/>
      <c r="D32" s="40" t="inlineStr"/>
      <c r="E32" s="40" t="inlineStr"/>
      <c r="F32" s="41" t="n"/>
      <c r="G32" s="41" t="n"/>
      <c r="H32" s="39" t="inlineStr"/>
      <c r="I32" s="41" t="n"/>
      <c r="J32" s="40" t="inlineStr"/>
      <c r="K32" s="41" t="n"/>
      <c r="L32" s="39" t="inlineStr"/>
      <c r="M32" s="41" t="n"/>
      <c r="N32" s="42" t="n"/>
      <c r="O32" s="40" t="inlineStr"/>
      <c r="P32" s="39">
        <f>IF(B32="","",IF(L32="Yes","LMS Completed (Ready for Exam)",IF(L32="In Progress","LMS In Progress",IF(H32="Yes","ADD Attended - Awaiting LMS",IF(H32="Rescheduled","ADD Rescheduled",IF(H32="Pending","ADD Scheduled",IF(H32="No","ADD Missed - Follow Up","Initial Prospect")))))))</f>
        <v/>
      </c>
      <c r="Q32" s="40" t="inlineStr"/>
      <c r="R32" s="41" t="n"/>
      <c r="S32" s="40" t="inlineStr"/>
    </row>
    <row r="33" ht="22" customHeight="1">
      <c r="A33" s="35">
        <f>IF(B33="","","REC-"&amp;TEXT(33-8,"000"))</f>
        <v/>
      </c>
      <c r="B33" s="36" t="inlineStr"/>
      <c r="C33" s="35" t="inlineStr"/>
      <c r="D33" s="36" t="inlineStr"/>
      <c r="E33" s="36" t="inlineStr"/>
      <c r="F33" s="37" t="n"/>
      <c r="G33" s="37" t="n"/>
      <c r="H33" s="35" t="inlineStr"/>
      <c r="I33" s="37" t="n"/>
      <c r="J33" s="36" t="inlineStr"/>
      <c r="K33" s="37" t="n"/>
      <c r="L33" s="35" t="inlineStr"/>
      <c r="M33" s="37" t="n"/>
      <c r="N33" s="38" t="n"/>
      <c r="O33" s="36" t="inlineStr"/>
      <c r="P33" s="35">
        <f>IF(B33="","",IF(L33="Yes","LMS Completed (Ready for Exam)",IF(L33="In Progress","LMS In Progress",IF(H33="Yes","ADD Attended - Awaiting LMS",IF(H33="Rescheduled","ADD Rescheduled",IF(H33="Pending","ADD Scheduled",IF(H33="No","ADD Missed - Follow Up","Initial Prospect")))))))</f>
        <v/>
      </c>
      <c r="Q33" s="36" t="inlineStr"/>
      <c r="R33" s="37" t="n"/>
      <c r="S33" s="36" t="inlineStr"/>
    </row>
    <row r="34" ht="22" customHeight="1">
      <c r="A34" s="39">
        <f>IF(B34="","","REC-"&amp;TEXT(34-8,"000"))</f>
        <v/>
      </c>
      <c r="B34" s="40" t="inlineStr"/>
      <c r="C34" s="39" t="inlineStr"/>
      <c r="D34" s="40" t="inlineStr"/>
      <c r="E34" s="40" t="inlineStr"/>
      <c r="F34" s="41" t="n"/>
      <c r="G34" s="41" t="n"/>
      <c r="H34" s="39" t="inlineStr"/>
      <c r="I34" s="41" t="n"/>
      <c r="J34" s="40" t="inlineStr"/>
      <c r="K34" s="41" t="n"/>
      <c r="L34" s="39" t="inlineStr"/>
      <c r="M34" s="41" t="n"/>
      <c r="N34" s="42" t="n"/>
      <c r="O34" s="40" t="inlineStr"/>
      <c r="P34" s="39">
        <f>IF(B34="","",IF(L34="Yes","LMS Completed (Ready for Exam)",IF(L34="In Progress","LMS In Progress",IF(H34="Yes","ADD Attended - Awaiting LMS",IF(H34="Rescheduled","ADD Rescheduled",IF(H34="Pending","ADD Scheduled",IF(H34="No","ADD Missed - Follow Up","Initial Prospect")))))))</f>
        <v/>
      </c>
      <c r="Q34" s="40" t="inlineStr"/>
      <c r="R34" s="41" t="n"/>
      <c r="S34" s="40" t="inlineStr"/>
    </row>
    <row r="35" ht="22" customHeight="1">
      <c r="A35" s="35">
        <f>IF(B35="","","REC-"&amp;TEXT(35-8,"000"))</f>
        <v/>
      </c>
      <c r="B35" s="36" t="inlineStr"/>
      <c r="C35" s="35" t="inlineStr"/>
      <c r="D35" s="36" t="inlineStr"/>
      <c r="E35" s="36" t="inlineStr"/>
      <c r="F35" s="37" t="n"/>
      <c r="G35" s="37" t="n"/>
      <c r="H35" s="35" t="inlineStr"/>
      <c r="I35" s="37" t="n"/>
      <c r="J35" s="36" t="inlineStr"/>
      <c r="K35" s="37" t="n"/>
      <c r="L35" s="35" t="inlineStr"/>
      <c r="M35" s="37" t="n"/>
      <c r="N35" s="38" t="n"/>
      <c r="O35" s="36" t="inlineStr"/>
      <c r="P35" s="35">
        <f>IF(B35="","",IF(L35="Yes","LMS Completed (Ready for Exam)",IF(L35="In Progress","LMS In Progress",IF(H35="Yes","ADD Attended - Awaiting LMS",IF(H35="Rescheduled","ADD Rescheduled",IF(H35="Pending","ADD Scheduled",IF(H35="No","ADD Missed - Follow Up","Initial Prospect")))))))</f>
        <v/>
      </c>
      <c r="Q35" s="36" t="inlineStr"/>
      <c r="R35" s="37" t="n"/>
      <c r="S35" s="36" t="inlineStr"/>
    </row>
    <row r="36" ht="22" customHeight="1">
      <c r="A36" s="39">
        <f>IF(B36="","","REC-"&amp;TEXT(36-8,"000"))</f>
        <v/>
      </c>
      <c r="B36" s="40" t="inlineStr"/>
      <c r="C36" s="39" t="inlineStr"/>
      <c r="D36" s="40" t="inlineStr"/>
      <c r="E36" s="40" t="inlineStr"/>
      <c r="F36" s="41" t="n"/>
      <c r="G36" s="41" t="n"/>
      <c r="H36" s="39" t="inlineStr"/>
      <c r="I36" s="41" t="n"/>
      <c r="J36" s="40" t="inlineStr"/>
      <c r="K36" s="41" t="n"/>
      <c r="L36" s="39" t="inlineStr"/>
      <c r="M36" s="41" t="n"/>
      <c r="N36" s="42" t="n"/>
      <c r="O36" s="40" t="inlineStr"/>
      <c r="P36" s="39">
        <f>IF(B36="","",IF(L36="Yes","LMS Completed (Ready for Exam)",IF(L36="In Progress","LMS In Progress",IF(H36="Yes","ADD Attended - Awaiting LMS",IF(H36="Rescheduled","ADD Rescheduled",IF(H36="Pending","ADD Scheduled",IF(H36="No","ADD Missed - Follow Up","Initial Prospect")))))))</f>
        <v/>
      </c>
      <c r="Q36" s="40" t="inlineStr"/>
      <c r="R36" s="41" t="n"/>
      <c r="S36" s="40" t="inlineStr"/>
    </row>
    <row r="37" ht="22" customHeight="1">
      <c r="A37" s="35">
        <f>IF(B37="","","REC-"&amp;TEXT(37-8,"000"))</f>
        <v/>
      </c>
      <c r="B37" s="36" t="inlineStr"/>
      <c r="C37" s="35" t="inlineStr"/>
      <c r="D37" s="36" t="inlineStr"/>
      <c r="E37" s="36" t="inlineStr"/>
      <c r="F37" s="37" t="n"/>
      <c r="G37" s="37" t="n"/>
      <c r="H37" s="35" t="inlineStr"/>
      <c r="I37" s="37" t="n"/>
      <c r="J37" s="36" t="inlineStr"/>
      <c r="K37" s="37" t="n"/>
      <c r="L37" s="35" t="inlineStr"/>
      <c r="M37" s="37" t="n"/>
      <c r="N37" s="38" t="n"/>
      <c r="O37" s="36" t="inlineStr"/>
      <c r="P37" s="35">
        <f>IF(B37="","",IF(L37="Yes","LMS Completed (Ready for Exam)",IF(L37="In Progress","LMS In Progress",IF(H37="Yes","ADD Attended - Awaiting LMS",IF(H37="Rescheduled","ADD Rescheduled",IF(H37="Pending","ADD Scheduled",IF(H37="No","ADD Missed - Follow Up","Initial Prospect")))))))</f>
        <v/>
      </c>
      <c r="Q37" s="36" t="inlineStr"/>
      <c r="R37" s="37" t="n"/>
      <c r="S37" s="36" t="inlineStr"/>
    </row>
    <row r="38" ht="22" customHeight="1">
      <c r="A38" s="39">
        <f>IF(B38="","","REC-"&amp;TEXT(38-8,"000"))</f>
        <v/>
      </c>
      <c r="B38" s="40" t="inlineStr"/>
      <c r="C38" s="39" t="inlineStr"/>
      <c r="D38" s="40" t="inlineStr"/>
      <c r="E38" s="40" t="inlineStr"/>
      <c r="F38" s="41" t="n"/>
      <c r="G38" s="41" t="n"/>
      <c r="H38" s="39" t="inlineStr"/>
      <c r="I38" s="41" t="n"/>
      <c r="J38" s="40" t="inlineStr"/>
      <c r="K38" s="41" t="n"/>
      <c r="L38" s="39" t="inlineStr"/>
      <c r="M38" s="41" t="n"/>
      <c r="N38" s="42" t="n"/>
      <c r="O38" s="40" t="inlineStr"/>
      <c r="P38" s="39">
        <f>IF(B38="","",IF(L38="Yes","LMS Completed (Ready for Exam)",IF(L38="In Progress","LMS In Progress",IF(H38="Yes","ADD Attended - Awaiting LMS",IF(H38="Rescheduled","ADD Rescheduled",IF(H38="Pending","ADD Scheduled",IF(H38="No","ADD Missed - Follow Up","Initial Prospect")))))))</f>
        <v/>
      </c>
      <c r="Q38" s="40" t="inlineStr"/>
      <c r="R38" s="41" t="n"/>
      <c r="S38" s="40" t="inlineStr"/>
    </row>
    <row r="39" ht="22" customHeight="1">
      <c r="A39" s="35">
        <f>IF(B39="","","REC-"&amp;TEXT(39-8,"000"))</f>
        <v/>
      </c>
      <c r="B39" s="36" t="inlineStr"/>
      <c r="C39" s="35" t="inlineStr"/>
      <c r="D39" s="36" t="inlineStr"/>
      <c r="E39" s="36" t="inlineStr"/>
      <c r="F39" s="37" t="n"/>
      <c r="G39" s="37" t="n"/>
      <c r="H39" s="35" t="inlineStr"/>
      <c r="I39" s="37" t="n"/>
      <c r="J39" s="36" t="inlineStr"/>
      <c r="K39" s="37" t="n"/>
      <c r="L39" s="35" t="inlineStr"/>
      <c r="M39" s="37" t="n"/>
      <c r="N39" s="38" t="n"/>
      <c r="O39" s="36" t="inlineStr"/>
      <c r="P39" s="35">
        <f>IF(B39="","",IF(L39="Yes","LMS Completed (Ready for Exam)",IF(L39="In Progress","LMS In Progress",IF(H39="Yes","ADD Attended - Awaiting LMS",IF(H39="Rescheduled","ADD Rescheduled",IF(H39="Pending","ADD Scheduled",IF(H39="No","ADD Missed - Follow Up","Initial Prospect")))))))</f>
        <v/>
      </c>
      <c r="Q39" s="36" t="inlineStr"/>
      <c r="R39" s="37" t="n"/>
      <c r="S39" s="36" t="inlineStr"/>
    </row>
    <row r="40" ht="22" customHeight="1">
      <c r="A40" s="39">
        <f>IF(B40="","","REC-"&amp;TEXT(40-8,"000"))</f>
        <v/>
      </c>
      <c r="B40" s="40" t="inlineStr"/>
      <c r="C40" s="39" t="inlineStr"/>
      <c r="D40" s="40" t="inlineStr"/>
      <c r="E40" s="40" t="inlineStr"/>
      <c r="F40" s="41" t="n"/>
      <c r="G40" s="41" t="n"/>
      <c r="H40" s="39" t="inlineStr"/>
      <c r="I40" s="41" t="n"/>
      <c r="J40" s="40" t="inlineStr"/>
      <c r="K40" s="41" t="n"/>
      <c r="L40" s="39" t="inlineStr"/>
      <c r="M40" s="41" t="n"/>
      <c r="N40" s="42" t="n"/>
      <c r="O40" s="40" t="inlineStr"/>
      <c r="P40" s="39">
        <f>IF(B40="","",IF(L40="Yes","LMS Completed (Ready for Exam)",IF(L40="In Progress","LMS In Progress",IF(H40="Yes","ADD Attended - Awaiting LMS",IF(H40="Rescheduled","ADD Rescheduled",IF(H40="Pending","ADD Scheduled",IF(H40="No","ADD Missed - Follow Up","Initial Prospect")))))))</f>
        <v/>
      </c>
      <c r="Q40" s="40" t="inlineStr"/>
      <c r="R40" s="41" t="n"/>
      <c r="S40" s="40" t="inlineStr"/>
    </row>
    <row r="41" ht="22" customHeight="1">
      <c r="A41" s="35">
        <f>IF(B41="","","REC-"&amp;TEXT(41-8,"000"))</f>
        <v/>
      </c>
      <c r="B41" s="36" t="inlineStr"/>
      <c r="C41" s="35" t="inlineStr"/>
      <c r="D41" s="36" t="inlineStr"/>
      <c r="E41" s="36" t="inlineStr"/>
      <c r="F41" s="37" t="n"/>
      <c r="G41" s="37" t="n"/>
      <c r="H41" s="35" t="inlineStr"/>
      <c r="I41" s="37" t="n"/>
      <c r="J41" s="36" t="inlineStr"/>
      <c r="K41" s="37" t="n"/>
      <c r="L41" s="35" t="inlineStr"/>
      <c r="M41" s="37" t="n"/>
      <c r="N41" s="38" t="n"/>
      <c r="O41" s="36" t="inlineStr"/>
      <c r="P41" s="35">
        <f>IF(B41="","",IF(L41="Yes","LMS Completed (Ready for Exam)",IF(L41="In Progress","LMS In Progress",IF(H41="Yes","ADD Attended - Awaiting LMS",IF(H41="Rescheduled","ADD Rescheduled",IF(H41="Pending","ADD Scheduled",IF(H41="No","ADD Missed - Follow Up","Initial Prospect")))))))</f>
        <v/>
      </c>
      <c r="Q41" s="36" t="inlineStr"/>
      <c r="R41" s="37" t="n"/>
      <c r="S41" s="36" t="inlineStr"/>
    </row>
    <row r="42" ht="22" customHeight="1">
      <c r="A42" s="39">
        <f>IF(B42="","","REC-"&amp;TEXT(42-8,"000"))</f>
        <v/>
      </c>
      <c r="B42" s="40" t="inlineStr"/>
      <c r="C42" s="39" t="inlineStr"/>
      <c r="D42" s="40" t="inlineStr"/>
      <c r="E42" s="40" t="inlineStr"/>
      <c r="F42" s="41" t="n"/>
      <c r="G42" s="41" t="n"/>
      <c r="H42" s="39" t="inlineStr"/>
      <c r="I42" s="41" t="n"/>
      <c r="J42" s="40" t="inlineStr"/>
      <c r="K42" s="41" t="n"/>
      <c r="L42" s="39" t="inlineStr"/>
      <c r="M42" s="41" t="n"/>
      <c r="N42" s="42" t="n"/>
      <c r="O42" s="40" t="inlineStr"/>
      <c r="P42" s="39">
        <f>IF(B42="","",IF(L42="Yes","LMS Completed (Ready for Exam)",IF(L42="In Progress","LMS In Progress",IF(H42="Yes","ADD Attended - Awaiting LMS",IF(H42="Rescheduled","ADD Rescheduled",IF(H42="Pending","ADD Scheduled",IF(H42="No","ADD Missed - Follow Up","Initial Prospect")))))))</f>
        <v/>
      </c>
      <c r="Q42" s="40" t="inlineStr"/>
      <c r="R42" s="41" t="n"/>
      <c r="S42" s="40" t="inlineStr"/>
    </row>
    <row r="43" ht="22" customHeight="1">
      <c r="A43" s="35">
        <f>IF(B43="","","REC-"&amp;TEXT(43-8,"000"))</f>
        <v/>
      </c>
      <c r="B43" s="36" t="inlineStr"/>
      <c r="C43" s="35" t="inlineStr"/>
      <c r="D43" s="36" t="inlineStr"/>
      <c r="E43" s="36" t="inlineStr"/>
      <c r="F43" s="37" t="n"/>
      <c r="G43" s="37" t="n"/>
      <c r="H43" s="35" t="inlineStr"/>
      <c r="I43" s="37" t="n"/>
      <c r="J43" s="36" t="inlineStr"/>
      <c r="K43" s="37" t="n"/>
      <c r="L43" s="35" t="inlineStr"/>
      <c r="M43" s="37" t="n"/>
      <c r="N43" s="38" t="n"/>
      <c r="O43" s="36" t="inlineStr"/>
      <c r="P43" s="35">
        <f>IF(B43="","",IF(L43="Yes","LMS Completed (Ready for Exam)",IF(L43="In Progress","LMS In Progress",IF(H43="Yes","ADD Attended - Awaiting LMS",IF(H43="Rescheduled","ADD Rescheduled",IF(H43="Pending","ADD Scheduled",IF(H43="No","ADD Missed - Follow Up","Initial Prospect")))))))</f>
        <v/>
      </c>
      <c r="Q43" s="36" t="inlineStr"/>
      <c r="R43" s="37" t="n"/>
      <c r="S43" s="36" t="inlineStr"/>
    </row>
    <row r="44" ht="22" customHeight="1">
      <c r="A44" s="39">
        <f>IF(B44="","","REC-"&amp;TEXT(44-8,"000"))</f>
        <v/>
      </c>
      <c r="B44" s="40" t="inlineStr"/>
      <c r="C44" s="39" t="inlineStr"/>
      <c r="D44" s="40" t="inlineStr"/>
      <c r="E44" s="40" t="inlineStr"/>
      <c r="F44" s="41" t="n"/>
      <c r="G44" s="41" t="n"/>
      <c r="H44" s="39" t="inlineStr"/>
      <c r="I44" s="41" t="n"/>
      <c r="J44" s="40" t="inlineStr"/>
      <c r="K44" s="41" t="n"/>
      <c r="L44" s="39" t="inlineStr"/>
      <c r="M44" s="41" t="n"/>
      <c r="N44" s="42" t="n"/>
      <c r="O44" s="40" t="inlineStr"/>
      <c r="P44" s="39">
        <f>IF(B44="","",IF(L44="Yes","LMS Completed (Ready for Exam)",IF(L44="In Progress","LMS In Progress",IF(H44="Yes","ADD Attended - Awaiting LMS",IF(H44="Rescheduled","ADD Rescheduled",IF(H44="Pending","ADD Scheduled",IF(H44="No","ADD Missed - Follow Up","Initial Prospect")))))))</f>
        <v/>
      </c>
      <c r="Q44" s="40" t="inlineStr"/>
      <c r="R44" s="41" t="n"/>
      <c r="S44" s="40" t="inlineStr"/>
    </row>
    <row r="45" ht="22" customHeight="1">
      <c r="A45" s="35">
        <f>IF(B45="","","REC-"&amp;TEXT(45-8,"000"))</f>
        <v/>
      </c>
      <c r="B45" s="36" t="inlineStr"/>
      <c r="C45" s="35" t="inlineStr"/>
      <c r="D45" s="36" t="inlineStr"/>
      <c r="E45" s="36" t="inlineStr"/>
      <c r="F45" s="37" t="n"/>
      <c r="G45" s="37" t="n"/>
      <c r="H45" s="35" t="inlineStr"/>
      <c r="I45" s="37" t="n"/>
      <c r="J45" s="36" t="inlineStr"/>
      <c r="K45" s="37" t="n"/>
      <c r="L45" s="35" t="inlineStr"/>
      <c r="M45" s="37" t="n"/>
      <c r="N45" s="38" t="n"/>
      <c r="O45" s="36" t="inlineStr"/>
      <c r="P45" s="35">
        <f>IF(B45="","",IF(L45="Yes","LMS Completed (Ready for Exam)",IF(L45="In Progress","LMS In Progress",IF(H45="Yes","ADD Attended - Awaiting LMS",IF(H45="Rescheduled","ADD Rescheduled",IF(H45="Pending","ADD Scheduled",IF(H45="No","ADD Missed - Follow Up","Initial Prospect")))))))</f>
        <v/>
      </c>
      <c r="Q45" s="36" t="inlineStr"/>
      <c r="R45" s="37" t="n"/>
      <c r="S45" s="36" t="inlineStr"/>
    </row>
    <row r="46" ht="22" customHeight="1">
      <c r="A46" s="39">
        <f>IF(B46="","","REC-"&amp;TEXT(46-8,"000"))</f>
        <v/>
      </c>
      <c r="B46" s="40" t="inlineStr"/>
      <c r="C46" s="39" t="inlineStr"/>
      <c r="D46" s="40" t="inlineStr"/>
      <c r="E46" s="40" t="inlineStr"/>
      <c r="F46" s="41" t="n"/>
      <c r="G46" s="41" t="n"/>
      <c r="H46" s="39" t="inlineStr"/>
      <c r="I46" s="41" t="n"/>
      <c r="J46" s="40" t="inlineStr"/>
      <c r="K46" s="41" t="n"/>
      <c r="L46" s="39" t="inlineStr"/>
      <c r="M46" s="41" t="n"/>
      <c r="N46" s="42" t="n"/>
      <c r="O46" s="40" t="inlineStr"/>
      <c r="P46" s="39">
        <f>IF(B46="","",IF(L46="Yes","LMS Completed (Ready for Exam)",IF(L46="In Progress","LMS In Progress",IF(H46="Yes","ADD Attended - Awaiting LMS",IF(H46="Rescheduled","ADD Rescheduled",IF(H46="Pending","ADD Scheduled",IF(H46="No","ADD Missed - Follow Up","Initial Prospect")))))))</f>
        <v/>
      </c>
      <c r="Q46" s="40" t="inlineStr"/>
      <c r="R46" s="41" t="n"/>
      <c r="S46" s="40" t="inlineStr"/>
    </row>
    <row r="47" ht="22" customHeight="1">
      <c r="A47" s="35">
        <f>IF(B47="","","REC-"&amp;TEXT(47-8,"000"))</f>
        <v/>
      </c>
      <c r="B47" s="36" t="inlineStr"/>
      <c r="C47" s="35" t="inlineStr"/>
      <c r="D47" s="36" t="inlineStr"/>
      <c r="E47" s="36" t="inlineStr"/>
      <c r="F47" s="37" t="n"/>
      <c r="G47" s="37" t="n"/>
      <c r="H47" s="35" t="inlineStr"/>
      <c r="I47" s="37" t="n"/>
      <c r="J47" s="36" t="inlineStr"/>
      <c r="K47" s="37" t="n"/>
      <c r="L47" s="35" t="inlineStr"/>
      <c r="M47" s="37" t="n"/>
      <c r="N47" s="38" t="n"/>
      <c r="O47" s="36" t="inlineStr"/>
      <c r="P47" s="35">
        <f>IF(B47="","",IF(L47="Yes","LMS Completed (Ready for Exam)",IF(L47="In Progress","LMS In Progress",IF(H47="Yes","ADD Attended - Awaiting LMS",IF(H47="Rescheduled","ADD Rescheduled",IF(H47="Pending","ADD Scheduled",IF(H47="No","ADD Missed - Follow Up","Initial Prospect")))))))</f>
        <v/>
      </c>
      <c r="Q47" s="36" t="inlineStr"/>
      <c r="R47" s="37" t="n"/>
      <c r="S47" s="36" t="inlineStr"/>
    </row>
    <row r="48" ht="22" customHeight="1">
      <c r="A48" s="39">
        <f>IF(B48="","","REC-"&amp;TEXT(48-8,"000"))</f>
        <v/>
      </c>
      <c r="B48" s="40" t="inlineStr"/>
      <c r="C48" s="39" t="inlineStr"/>
      <c r="D48" s="40" t="inlineStr"/>
      <c r="E48" s="40" t="inlineStr"/>
      <c r="F48" s="41" t="n"/>
      <c r="G48" s="41" t="n"/>
      <c r="H48" s="39" t="inlineStr"/>
      <c r="I48" s="41" t="n"/>
      <c r="J48" s="40" t="inlineStr"/>
      <c r="K48" s="41" t="n"/>
      <c r="L48" s="39" t="inlineStr"/>
      <c r="M48" s="41" t="n"/>
      <c r="N48" s="42" t="n"/>
      <c r="O48" s="40" t="inlineStr"/>
      <c r="P48" s="39">
        <f>IF(B48="","",IF(L48="Yes","LMS Completed (Ready for Exam)",IF(L48="In Progress","LMS In Progress",IF(H48="Yes","ADD Attended - Awaiting LMS",IF(H48="Rescheduled","ADD Rescheduled",IF(H48="Pending","ADD Scheduled",IF(H48="No","ADD Missed - Follow Up","Initial Prospect")))))))</f>
        <v/>
      </c>
      <c r="Q48" s="40" t="inlineStr"/>
      <c r="R48" s="41" t="n"/>
      <c r="S48" s="40" t="inlineStr"/>
    </row>
    <row r="49" ht="22" customHeight="1">
      <c r="A49" s="35">
        <f>IF(B49="","","REC-"&amp;TEXT(49-8,"000"))</f>
        <v/>
      </c>
      <c r="B49" s="36" t="inlineStr"/>
      <c r="C49" s="35" t="inlineStr"/>
      <c r="D49" s="36" t="inlineStr"/>
      <c r="E49" s="36" t="inlineStr"/>
      <c r="F49" s="37" t="n"/>
      <c r="G49" s="37" t="n"/>
      <c r="H49" s="35" t="inlineStr"/>
      <c r="I49" s="37" t="n"/>
      <c r="J49" s="36" t="inlineStr"/>
      <c r="K49" s="37" t="n"/>
      <c r="L49" s="35" t="inlineStr"/>
      <c r="M49" s="37" t="n"/>
      <c r="N49" s="38" t="n"/>
      <c r="O49" s="36" t="inlineStr"/>
      <c r="P49" s="35">
        <f>IF(B49="","",IF(L49="Yes","LMS Completed (Ready for Exam)",IF(L49="In Progress","LMS In Progress",IF(H49="Yes","ADD Attended - Awaiting LMS",IF(H49="Rescheduled","ADD Rescheduled",IF(H49="Pending","ADD Scheduled",IF(H49="No","ADD Missed - Follow Up","Initial Prospect")))))))</f>
        <v/>
      </c>
      <c r="Q49" s="36" t="inlineStr"/>
      <c r="R49" s="37" t="n"/>
      <c r="S49" s="36" t="inlineStr"/>
    </row>
    <row r="50" ht="22" customHeight="1">
      <c r="A50" s="39">
        <f>IF(B50="","","REC-"&amp;TEXT(50-8,"000"))</f>
        <v/>
      </c>
      <c r="B50" s="40" t="inlineStr"/>
      <c r="C50" s="39" t="inlineStr"/>
      <c r="D50" s="40" t="inlineStr"/>
      <c r="E50" s="40" t="inlineStr"/>
      <c r="F50" s="41" t="n"/>
      <c r="G50" s="41" t="n"/>
      <c r="H50" s="39" t="inlineStr"/>
      <c r="I50" s="41" t="n"/>
      <c r="J50" s="40" t="inlineStr"/>
      <c r="K50" s="41" t="n"/>
      <c r="L50" s="39" t="inlineStr"/>
      <c r="M50" s="41" t="n"/>
      <c r="N50" s="42" t="n"/>
      <c r="O50" s="40" t="inlineStr"/>
      <c r="P50" s="39">
        <f>IF(B50="","",IF(L50="Yes","LMS Completed (Ready for Exam)",IF(L50="In Progress","LMS In Progress",IF(H50="Yes","ADD Attended - Awaiting LMS",IF(H50="Rescheduled","ADD Rescheduled",IF(H50="Pending","ADD Scheduled",IF(H50="No","ADD Missed - Follow Up","Initial Prospect")))))))</f>
        <v/>
      </c>
      <c r="Q50" s="40" t="inlineStr"/>
      <c r="R50" s="41" t="n"/>
      <c r="S50" s="40" t="inlineStr"/>
    </row>
    <row r="51" ht="22" customHeight="1">
      <c r="A51" s="35">
        <f>IF(B51="","","REC-"&amp;TEXT(51-8,"000"))</f>
        <v/>
      </c>
      <c r="B51" s="36" t="inlineStr"/>
      <c r="C51" s="35" t="inlineStr"/>
      <c r="D51" s="36" t="inlineStr"/>
      <c r="E51" s="36" t="inlineStr"/>
      <c r="F51" s="37" t="n"/>
      <c r="G51" s="37" t="n"/>
      <c r="H51" s="35" t="inlineStr"/>
      <c r="I51" s="37" t="n"/>
      <c r="J51" s="36" t="inlineStr"/>
      <c r="K51" s="37" t="n"/>
      <c r="L51" s="35" t="inlineStr"/>
      <c r="M51" s="37" t="n"/>
      <c r="N51" s="38" t="n"/>
      <c r="O51" s="36" t="inlineStr"/>
      <c r="P51" s="35">
        <f>IF(B51="","",IF(L51="Yes","LMS Completed (Ready for Exam)",IF(L51="In Progress","LMS In Progress",IF(H51="Yes","ADD Attended - Awaiting LMS",IF(H51="Rescheduled","ADD Rescheduled",IF(H51="Pending","ADD Scheduled",IF(H51="No","ADD Missed - Follow Up","Initial Prospect")))))))</f>
        <v/>
      </c>
      <c r="Q51" s="36" t="inlineStr"/>
      <c r="R51" s="37" t="n"/>
      <c r="S51" s="36" t="inlineStr"/>
    </row>
    <row r="52" ht="22" customHeight="1">
      <c r="A52" s="39">
        <f>IF(B52="","","REC-"&amp;TEXT(52-8,"000"))</f>
        <v/>
      </c>
      <c r="B52" s="40" t="inlineStr"/>
      <c r="C52" s="39" t="inlineStr"/>
      <c r="D52" s="40" t="inlineStr"/>
      <c r="E52" s="40" t="inlineStr"/>
      <c r="F52" s="41" t="n"/>
      <c r="G52" s="41" t="n"/>
      <c r="H52" s="39" t="inlineStr"/>
      <c r="I52" s="41" t="n"/>
      <c r="J52" s="40" t="inlineStr"/>
      <c r="K52" s="41" t="n"/>
      <c r="L52" s="39" t="inlineStr"/>
      <c r="M52" s="41" t="n"/>
      <c r="N52" s="42" t="n"/>
      <c r="O52" s="40" t="inlineStr"/>
      <c r="P52" s="39">
        <f>IF(B52="","",IF(L52="Yes","LMS Completed (Ready for Exam)",IF(L52="In Progress","LMS In Progress",IF(H52="Yes","ADD Attended - Awaiting LMS",IF(H52="Rescheduled","ADD Rescheduled",IF(H52="Pending","ADD Scheduled",IF(H52="No","ADD Missed - Follow Up","Initial Prospect")))))))</f>
        <v/>
      </c>
      <c r="Q52" s="40" t="inlineStr"/>
      <c r="R52" s="41" t="n"/>
      <c r="S52" s="40" t="inlineStr"/>
    </row>
    <row r="53" ht="22" customHeight="1">
      <c r="A53" s="35">
        <f>IF(B53="","","REC-"&amp;TEXT(53-8,"000"))</f>
        <v/>
      </c>
      <c r="B53" s="36" t="inlineStr"/>
      <c r="C53" s="35" t="inlineStr"/>
      <c r="D53" s="36" t="inlineStr"/>
      <c r="E53" s="36" t="inlineStr"/>
      <c r="F53" s="37" t="n"/>
      <c r="G53" s="37" t="n"/>
      <c r="H53" s="35" t="inlineStr"/>
      <c r="I53" s="37" t="n"/>
      <c r="J53" s="36" t="inlineStr"/>
      <c r="K53" s="37" t="n"/>
      <c r="L53" s="35" t="inlineStr"/>
      <c r="M53" s="37" t="n"/>
      <c r="N53" s="38" t="n"/>
      <c r="O53" s="36" t="inlineStr"/>
      <c r="P53" s="35">
        <f>IF(B53="","",IF(L53="Yes","LMS Completed (Ready for Exam)",IF(L53="In Progress","LMS In Progress",IF(H53="Yes","ADD Attended - Awaiting LMS",IF(H53="Rescheduled","ADD Rescheduled",IF(H53="Pending","ADD Scheduled",IF(H53="No","ADD Missed - Follow Up","Initial Prospect")))))))</f>
        <v/>
      </c>
      <c r="Q53" s="36" t="inlineStr"/>
      <c r="R53" s="37" t="n"/>
      <c r="S53" s="36" t="inlineStr"/>
    </row>
    <row r="54" ht="22" customHeight="1">
      <c r="A54" s="39">
        <f>IF(B54="","","REC-"&amp;TEXT(54-8,"000"))</f>
        <v/>
      </c>
      <c r="B54" s="40" t="inlineStr"/>
      <c r="C54" s="39" t="inlineStr"/>
      <c r="D54" s="40" t="inlineStr"/>
      <c r="E54" s="40" t="inlineStr"/>
      <c r="F54" s="41" t="n"/>
      <c r="G54" s="41" t="n"/>
      <c r="H54" s="39" t="inlineStr"/>
      <c r="I54" s="41" t="n"/>
      <c r="J54" s="40" t="inlineStr"/>
      <c r="K54" s="41" t="n"/>
      <c r="L54" s="39" t="inlineStr"/>
      <c r="M54" s="41" t="n"/>
      <c r="N54" s="42" t="n"/>
      <c r="O54" s="40" t="inlineStr"/>
      <c r="P54" s="39">
        <f>IF(B54="","",IF(L54="Yes","LMS Completed (Ready for Exam)",IF(L54="In Progress","LMS In Progress",IF(H54="Yes","ADD Attended - Awaiting LMS",IF(H54="Rescheduled","ADD Rescheduled",IF(H54="Pending","ADD Scheduled",IF(H54="No","ADD Missed - Follow Up","Initial Prospect")))))))</f>
        <v/>
      </c>
      <c r="Q54" s="40" t="inlineStr"/>
      <c r="R54" s="41" t="n"/>
      <c r="S54" s="40" t="inlineStr"/>
    </row>
    <row r="55" ht="22" customHeight="1">
      <c r="A55" s="35">
        <f>IF(B55="","","REC-"&amp;TEXT(55-8,"000"))</f>
        <v/>
      </c>
      <c r="B55" s="36" t="inlineStr"/>
      <c r="C55" s="35" t="inlineStr"/>
      <c r="D55" s="36" t="inlineStr"/>
      <c r="E55" s="36" t="inlineStr"/>
      <c r="F55" s="37" t="n"/>
      <c r="G55" s="37" t="n"/>
      <c r="H55" s="35" t="inlineStr"/>
      <c r="I55" s="37" t="n"/>
      <c r="J55" s="36" t="inlineStr"/>
      <c r="K55" s="37" t="n"/>
      <c r="L55" s="35" t="inlineStr"/>
      <c r="M55" s="37" t="n"/>
      <c r="N55" s="38" t="n"/>
      <c r="O55" s="36" t="inlineStr"/>
      <c r="P55" s="35">
        <f>IF(B55="","",IF(L55="Yes","LMS Completed (Ready for Exam)",IF(L55="In Progress","LMS In Progress",IF(H55="Yes","ADD Attended - Awaiting LMS",IF(H55="Rescheduled","ADD Rescheduled",IF(H55="Pending","ADD Scheduled",IF(H55="No","ADD Missed - Follow Up","Initial Prospect")))))))</f>
        <v/>
      </c>
      <c r="Q55" s="36" t="inlineStr"/>
      <c r="R55" s="37" t="n"/>
      <c r="S55" s="36" t="inlineStr"/>
    </row>
    <row r="56" ht="22" customHeight="1">
      <c r="A56" s="39">
        <f>IF(B56="","","REC-"&amp;TEXT(56-8,"000"))</f>
        <v/>
      </c>
      <c r="B56" s="40" t="inlineStr"/>
      <c r="C56" s="39" t="inlineStr"/>
      <c r="D56" s="40" t="inlineStr"/>
      <c r="E56" s="40" t="inlineStr"/>
      <c r="F56" s="41" t="n"/>
      <c r="G56" s="41" t="n"/>
      <c r="H56" s="39" t="inlineStr"/>
      <c r="I56" s="41" t="n"/>
      <c r="J56" s="40" t="inlineStr"/>
      <c r="K56" s="41" t="n"/>
      <c r="L56" s="39" t="inlineStr"/>
      <c r="M56" s="41" t="n"/>
      <c r="N56" s="42" t="n"/>
      <c r="O56" s="40" t="inlineStr"/>
      <c r="P56" s="39">
        <f>IF(B56="","",IF(L56="Yes","LMS Completed (Ready for Exam)",IF(L56="In Progress","LMS In Progress",IF(H56="Yes","ADD Attended - Awaiting LMS",IF(H56="Rescheduled","ADD Rescheduled",IF(H56="Pending","ADD Scheduled",IF(H56="No","ADD Missed - Follow Up","Initial Prospect")))))))</f>
        <v/>
      </c>
      <c r="Q56" s="40" t="inlineStr"/>
      <c r="R56" s="41" t="n"/>
      <c r="S56" s="40" t="inlineStr"/>
    </row>
    <row r="57" ht="22" customHeight="1">
      <c r="A57" s="35">
        <f>IF(B57="","","REC-"&amp;TEXT(57-8,"000"))</f>
        <v/>
      </c>
      <c r="B57" s="36" t="inlineStr"/>
      <c r="C57" s="35" t="inlineStr"/>
      <c r="D57" s="36" t="inlineStr"/>
      <c r="E57" s="36" t="inlineStr"/>
      <c r="F57" s="37" t="n"/>
      <c r="G57" s="37" t="n"/>
      <c r="H57" s="35" t="inlineStr"/>
      <c r="I57" s="37" t="n"/>
      <c r="J57" s="36" t="inlineStr"/>
      <c r="K57" s="37" t="n"/>
      <c r="L57" s="35" t="inlineStr"/>
      <c r="M57" s="37" t="n"/>
      <c r="N57" s="38" t="n"/>
      <c r="O57" s="36" t="inlineStr"/>
      <c r="P57" s="35">
        <f>IF(B57="","",IF(L57="Yes","LMS Completed (Ready for Exam)",IF(L57="In Progress","LMS In Progress",IF(H57="Yes","ADD Attended - Awaiting LMS",IF(H57="Rescheduled","ADD Rescheduled",IF(H57="Pending","ADD Scheduled",IF(H57="No","ADD Missed - Follow Up","Initial Prospect")))))))</f>
        <v/>
      </c>
      <c r="Q57" s="36" t="inlineStr"/>
      <c r="R57" s="37" t="n"/>
      <c r="S57" s="36" t="inlineStr"/>
    </row>
    <row r="58" ht="22" customHeight="1">
      <c r="A58" s="39">
        <f>IF(B58="","","REC-"&amp;TEXT(58-8,"000"))</f>
        <v/>
      </c>
      <c r="B58" s="40" t="inlineStr"/>
      <c r="C58" s="39" t="inlineStr"/>
      <c r="D58" s="40" t="inlineStr"/>
      <c r="E58" s="40" t="inlineStr"/>
      <c r="F58" s="41" t="n"/>
      <c r="G58" s="41" t="n"/>
      <c r="H58" s="39" t="inlineStr"/>
      <c r="I58" s="41" t="n"/>
      <c r="J58" s="40" t="inlineStr"/>
      <c r="K58" s="41" t="n"/>
      <c r="L58" s="39" t="inlineStr"/>
      <c r="M58" s="41" t="n"/>
      <c r="N58" s="42" t="n"/>
      <c r="O58" s="40" t="inlineStr"/>
      <c r="P58" s="39">
        <f>IF(B58="","",IF(L58="Yes","LMS Completed (Ready for Exam)",IF(L58="In Progress","LMS In Progress",IF(H58="Yes","ADD Attended - Awaiting LMS",IF(H58="Rescheduled","ADD Rescheduled",IF(H58="Pending","ADD Scheduled",IF(H58="No","ADD Missed - Follow Up","Initial Prospect")))))))</f>
        <v/>
      </c>
      <c r="Q58" s="40" t="inlineStr"/>
      <c r="R58" s="41" t="n"/>
      <c r="S58" s="40" t="inlineStr"/>
    </row>
    <row r="59" ht="22" customHeight="1">
      <c r="A59" s="35">
        <f>IF(B59="","","REC-"&amp;TEXT(59-8,"000"))</f>
        <v/>
      </c>
      <c r="B59" s="36" t="inlineStr"/>
      <c r="C59" s="35" t="inlineStr"/>
      <c r="D59" s="36" t="inlineStr"/>
      <c r="E59" s="36" t="inlineStr"/>
      <c r="F59" s="37" t="n"/>
      <c r="G59" s="37" t="n"/>
      <c r="H59" s="35" t="inlineStr"/>
      <c r="I59" s="37" t="n"/>
      <c r="J59" s="36" t="inlineStr"/>
      <c r="K59" s="37" t="n"/>
      <c r="L59" s="35" t="inlineStr"/>
      <c r="M59" s="37" t="n"/>
      <c r="N59" s="38" t="n"/>
      <c r="O59" s="36" t="inlineStr"/>
      <c r="P59" s="35">
        <f>IF(B59="","",IF(L59="Yes","LMS Completed (Ready for Exam)",IF(L59="In Progress","LMS In Progress",IF(H59="Yes","ADD Attended - Awaiting LMS",IF(H59="Rescheduled","ADD Rescheduled",IF(H59="Pending","ADD Scheduled",IF(H59="No","ADD Missed - Follow Up","Initial Prospect")))))))</f>
        <v/>
      </c>
      <c r="Q59" s="36" t="inlineStr"/>
      <c r="R59" s="37" t="n"/>
      <c r="S59" s="36" t="inlineStr"/>
    </row>
    <row r="60" ht="22" customHeight="1">
      <c r="A60" s="39">
        <f>IF(B60="","","REC-"&amp;TEXT(60-8,"000"))</f>
        <v/>
      </c>
      <c r="B60" s="40" t="inlineStr"/>
      <c r="C60" s="39" t="inlineStr"/>
      <c r="D60" s="40" t="inlineStr"/>
      <c r="E60" s="40" t="inlineStr"/>
      <c r="F60" s="41" t="n"/>
      <c r="G60" s="41" t="n"/>
      <c r="H60" s="39" t="inlineStr"/>
      <c r="I60" s="41" t="n"/>
      <c r="J60" s="40" t="inlineStr"/>
      <c r="K60" s="41" t="n"/>
      <c r="L60" s="39" t="inlineStr"/>
      <c r="M60" s="41" t="n"/>
      <c r="N60" s="42" t="n"/>
      <c r="O60" s="40" t="inlineStr"/>
      <c r="P60" s="39">
        <f>IF(B60="","",IF(L60="Yes","LMS Completed (Ready for Exam)",IF(L60="In Progress","LMS In Progress",IF(H60="Yes","ADD Attended - Awaiting LMS",IF(H60="Rescheduled","ADD Rescheduled",IF(H60="Pending","ADD Scheduled",IF(H60="No","ADD Missed - Follow Up","Initial Prospect")))))))</f>
        <v/>
      </c>
      <c r="Q60" s="40" t="inlineStr"/>
      <c r="R60" s="41" t="n"/>
      <c r="S60" s="40" t="inlineStr"/>
    </row>
    <row r="61" ht="22" customHeight="1">
      <c r="A61" s="35">
        <f>IF(B61="","","REC-"&amp;TEXT(61-8,"000"))</f>
        <v/>
      </c>
      <c r="B61" s="36" t="inlineStr"/>
      <c r="C61" s="35" t="inlineStr"/>
      <c r="D61" s="36" t="inlineStr"/>
      <c r="E61" s="36" t="inlineStr"/>
      <c r="F61" s="37" t="n"/>
      <c r="G61" s="37" t="n"/>
      <c r="H61" s="35" t="inlineStr"/>
      <c r="I61" s="37" t="n"/>
      <c r="J61" s="36" t="inlineStr"/>
      <c r="K61" s="37" t="n"/>
      <c r="L61" s="35" t="inlineStr"/>
      <c r="M61" s="37" t="n"/>
      <c r="N61" s="38" t="n"/>
      <c r="O61" s="36" t="inlineStr"/>
      <c r="P61" s="35">
        <f>IF(B61="","",IF(L61="Yes","LMS Completed (Ready for Exam)",IF(L61="In Progress","LMS In Progress",IF(H61="Yes","ADD Attended - Awaiting LMS",IF(H61="Rescheduled","ADD Rescheduled",IF(H61="Pending","ADD Scheduled",IF(H61="No","ADD Missed - Follow Up","Initial Prospect")))))))</f>
        <v/>
      </c>
      <c r="Q61" s="36" t="inlineStr"/>
      <c r="R61" s="37" t="n"/>
      <c r="S61" s="36" t="inlineStr"/>
    </row>
    <row r="62" ht="22" customHeight="1">
      <c r="A62" s="39">
        <f>IF(B62="","","REC-"&amp;TEXT(62-8,"000"))</f>
        <v/>
      </c>
      <c r="B62" s="40" t="inlineStr"/>
      <c r="C62" s="39" t="inlineStr"/>
      <c r="D62" s="40" t="inlineStr"/>
      <c r="E62" s="40" t="inlineStr"/>
      <c r="F62" s="41" t="n"/>
      <c r="G62" s="41" t="n"/>
      <c r="H62" s="39" t="inlineStr"/>
      <c r="I62" s="41" t="n"/>
      <c r="J62" s="40" t="inlineStr"/>
      <c r="K62" s="41" t="n"/>
      <c r="L62" s="39" t="inlineStr"/>
      <c r="M62" s="41" t="n"/>
      <c r="N62" s="42" t="n"/>
      <c r="O62" s="40" t="inlineStr"/>
      <c r="P62" s="39">
        <f>IF(B62="","",IF(L62="Yes","LMS Completed (Ready for Exam)",IF(L62="In Progress","LMS In Progress",IF(H62="Yes","ADD Attended - Awaiting LMS",IF(H62="Rescheduled","ADD Rescheduled",IF(H62="Pending","ADD Scheduled",IF(H62="No","ADD Missed - Follow Up","Initial Prospect")))))))</f>
        <v/>
      </c>
      <c r="Q62" s="40" t="inlineStr"/>
      <c r="R62" s="41" t="n"/>
      <c r="S62" s="40" t="inlineStr"/>
    </row>
    <row r="63" ht="22" customHeight="1">
      <c r="A63" s="35">
        <f>IF(B63="","","REC-"&amp;TEXT(63-8,"000"))</f>
        <v/>
      </c>
      <c r="B63" s="36" t="inlineStr"/>
      <c r="C63" s="35" t="inlineStr"/>
      <c r="D63" s="36" t="inlineStr"/>
      <c r="E63" s="36" t="inlineStr"/>
      <c r="F63" s="37" t="n"/>
      <c r="G63" s="37" t="n"/>
      <c r="H63" s="35" t="inlineStr"/>
      <c r="I63" s="37" t="n"/>
      <c r="J63" s="36" t="inlineStr"/>
      <c r="K63" s="37" t="n"/>
      <c r="L63" s="35" t="inlineStr"/>
      <c r="M63" s="37" t="n"/>
      <c r="N63" s="38" t="n"/>
      <c r="O63" s="36" t="inlineStr"/>
      <c r="P63" s="35">
        <f>IF(B63="","",IF(L63="Yes","LMS Completed (Ready for Exam)",IF(L63="In Progress","LMS In Progress",IF(H63="Yes","ADD Attended - Awaiting LMS",IF(H63="Rescheduled","ADD Rescheduled",IF(H63="Pending","ADD Scheduled",IF(H63="No","ADD Missed - Follow Up","Initial Prospect")))))))</f>
        <v/>
      </c>
      <c r="Q63" s="36" t="inlineStr"/>
      <c r="R63" s="37" t="n"/>
      <c r="S63" s="36" t="inlineStr"/>
    </row>
    <row r="64" ht="22" customHeight="1">
      <c r="A64" s="39">
        <f>IF(B64="","","REC-"&amp;TEXT(64-8,"000"))</f>
        <v/>
      </c>
      <c r="B64" s="40" t="inlineStr"/>
      <c r="C64" s="39" t="inlineStr"/>
      <c r="D64" s="40" t="inlineStr"/>
      <c r="E64" s="40" t="inlineStr"/>
      <c r="F64" s="41" t="n"/>
      <c r="G64" s="41" t="n"/>
      <c r="H64" s="39" t="inlineStr"/>
      <c r="I64" s="41" t="n"/>
      <c r="J64" s="40" t="inlineStr"/>
      <c r="K64" s="41" t="n"/>
      <c r="L64" s="39" t="inlineStr"/>
      <c r="M64" s="41" t="n"/>
      <c r="N64" s="42" t="n"/>
      <c r="O64" s="40" t="inlineStr"/>
      <c r="P64" s="39">
        <f>IF(B64="","",IF(L64="Yes","LMS Completed (Ready for Exam)",IF(L64="In Progress","LMS In Progress",IF(H64="Yes","ADD Attended - Awaiting LMS",IF(H64="Rescheduled","ADD Rescheduled",IF(H64="Pending","ADD Scheduled",IF(H64="No","ADD Missed - Follow Up","Initial Prospect")))))))</f>
        <v/>
      </c>
      <c r="Q64" s="40" t="inlineStr"/>
      <c r="R64" s="41" t="n"/>
      <c r="S64" s="40" t="inlineStr"/>
    </row>
    <row r="65" ht="22" customHeight="1">
      <c r="A65" s="35">
        <f>IF(B65="","","REC-"&amp;TEXT(65-8,"000"))</f>
        <v/>
      </c>
      <c r="B65" s="36" t="inlineStr"/>
      <c r="C65" s="35" t="inlineStr"/>
      <c r="D65" s="36" t="inlineStr"/>
      <c r="E65" s="36" t="inlineStr"/>
      <c r="F65" s="37" t="n"/>
      <c r="G65" s="37" t="n"/>
      <c r="H65" s="35" t="inlineStr"/>
      <c r="I65" s="37" t="n"/>
      <c r="J65" s="36" t="inlineStr"/>
      <c r="K65" s="37" t="n"/>
      <c r="L65" s="35" t="inlineStr"/>
      <c r="M65" s="37" t="n"/>
      <c r="N65" s="38" t="n"/>
      <c r="O65" s="36" t="inlineStr"/>
      <c r="P65" s="35">
        <f>IF(B65="","",IF(L65="Yes","LMS Completed (Ready for Exam)",IF(L65="In Progress","LMS In Progress",IF(H65="Yes","ADD Attended - Awaiting LMS",IF(H65="Rescheduled","ADD Rescheduled",IF(H65="Pending","ADD Scheduled",IF(H65="No","ADD Missed - Follow Up","Initial Prospect")))))))</f>
        <v/>
      </c>
      <c r="Q65" s="36" t="inlineStr"/>
      <c r="R65" s="37" t="n"/>
      <c r="S65" s="36" t="inlineStr"/>
    </row>
  </sheetData>
  <mergeCells count="21">
    <mergeCell ref="J6:L6"/>
    <mergeCell ref="F5:H5"/>
    <mergeCell ref="N5:P5"/>
    <mergeCell ref="J4:L4"/>
    <mergeCell ref="R4:S4"/>
    <mergeCell ref="R6:S6"/>
    <mergeCell ref="B6:D6"/>
    <mergeCell ref="N6:P6"/>
    <mergeCell ref="B5:D5"/>
    <mergeCell ref="B4:D4"/>
    <mergeCell ref="A1:S1"/>
    <mergeCell ref="F4:H4"/>
    <mergeCell ref="G7:J7"/>
    <mergeCell ref="N4:P4"/>
    <mergeCell ref="J5:L5"/>
    <mergeCell ref="F6:H6"/>
    <mergeCell ref="K7:O7"/>
    <mergeCell ref="P7:S7"/>
    <mergeCell ref="R5:S5"/>
    <mergeCell ref="A2:S2"/>
    <mergeCell ref="A7:F7"/>
  </mergeCells>
  <conditionalFormatting sqref="H9:H65">
    <cfRule type="cellIs" priority="1" operator="equal" dxfId="0">
      <formula>"Yes"</formula>
    </cfRule>
    <cfRule type="cellIs" priority="2" operator="equal" dxfId="1">
      <formula>"No"</formula>
    </cfRule>
    <cfRule type="cellIs" priority="3" operator="equal" dxfId="2">
      <formula>"Rescheduled"</formula>
    </cfRule>
    <cfRule type="cellIs" priority="4" operator="equal" dxfId="3">
      <formula>"Pending"</formula>
    </cfRule>
  </conditionalFormatting>
  <conditionalFormatting sqref="L9:L65">
    <cfRule type="cellIs" priority="5" operator="equal" dxfId="0">
      <formula>"Yes"</formula>
    </cfRule>
    <cfRule type="cellIs" priority="6" operator="equal" dxfId="2">
      <formula>"In Progress"</formula>
    </cfRule>
    <cfRule type="cellIs" priority="7" operator="equal" dxfId="4">
      <formula>"Not Started"</formula>
    </cfRule>
    <cfRule type="cellIs" priority="8" operator="equal" dxfId="1">
      <formula>"Withdrawn"</formula>
    </cfRule>
  </conditionalFormatting>
  <conditionalFormatting sqref="P9:P65">
    <cfRule type="cellIs" priority="9" operator="equal" dxfId="0">
      <formula>"LMS Completed (Ready for Exam)"</formula>
    </cfRule>
    <cfRule type="cellIs" priority="10" operator="equal" dxfId="2">
      <formula>"LMS In Progress"</formula>
    </cfRule>
    <cfRule type="cellIs" priority="11" operator="equal" dxfId="3">
      <formula>"ADD Attended - Awaiting LMS"</formula>
    </cfRule>
    <cfRule type="cellIs" priority="12" operator="equal" dxfId="5">
      <formula>"ADD Scheduled"</formula>
    </cfRule>
    <cfRule type="cellIs" priority="13" operator="equal" dxfId="1">
      <formula>"ADD Missed - Follow Up"</formula>
    </cfRule>
    <cfRule type="cellIs" priority="14" operator="equal" dxfId="2">
      <formula>"ADD Rescheduled"</formula>
    </cfRule>
  </conditionalFormatting>
  <dataValidations count="2">
    <dataValidation sqref="H9:H65" showDropDown="0" showInputMessage="0" showErrorMessage="0" allowBlank="1" type="list">
      <formula1>"Yes,No,Rescheduled,Pending"</formula1>
    </dataValidation>
    <dataValidation sqref="L9:L65" showDropDown="0" showInputMessage="0" showErrorMessage="0" allowBlank="1" type="list">
      <formula1>"Yes,In Progress,Not Started,Withdrawn"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showGridLines="1" workbookViewId="0">
      <selection activeCell="A1" sqref="A1"/>
    </sheetView>
  </sheetViews>
  <sheetFormatPr baseColWidth="8" defaultRowHeight="15"/>
  <cols>
    <col width="28" customWidth="1" min="1" max="1"/>
    <col width="16" customWidth="1" min="2" max="2"/>
    <col width="18" customWidth="1" min="3" max="3"/>
    <col width="24" customWidth="1" min="4" max="4"/>
    <col width="16" customWidth="1" min="5" max="5"/>
    <col width="18" customWidth="1" min="6" max="6"/>
    <col width="18" customWidth="1" min="7" max="7"/>
    <col width="16" customWidth="1" min="8" max="8"/>
    <col width="16" customWidth="1" min="9" max="9"/>
    <col width="16" customWidth="1" min="10" max="10"/>
  </cols>
  <sheetData>
    <row r="1" ht="36" customHeight="1">
      <c r="A1" s="1" t="inlineStr">
        <is>
          <t>RECRUITMENT PERFORMANCE DASHBOARD &amp; METRICS</t>
        </is>
      </c>
    </row>
    <row r="2" ht="20" customHeight="1">
      <c r="A2" s="2" t="inlineStr">
        <is>
          <t>Recruitment Funnel Conversion Analysis, Milestone Breakdown &amp; Recruiter Performance</t>
        </is>
      </c>
    </row>
    <row r="3" ht="10" customHeight="1"/>
    <row r="4" ht="24" customHeight="1">
      <c r="A4" s="43" t="inlineStr">
        <is>
          <t>RECRUITMENT PIPELINE FUNNEL ANALYSIS</t>
        </is>
      </c>
    </row>
    <row r="5" ht="24" customHeight="1">
      <c r="A5" s="44" t="inlineStr">
        <is>
          <t>Funnel Stage</t>
        </is>
      </c>
      <c r="B5" s="45" t="inlineStr">
        <is>
          <t>Count</t>
        </is>
      </c>
      <c r="C5" s="45" t="inlineStr">
        <is>
          <t>% of Sourced</t>
        </is>
      </c>
      <c r="D5" s="44" t="inlineStr">
        <is>
          <t>Conversion / Drop-off Note</t>
        </is>
      </c>
    </row>
    <row r="6" ht="20" customHeight="1">
      <c r="A6" s="46" t="inlineStr">
        <is>
          <t>1. Recruits Sourced</t>
        </is>
      </c>
      <c r="B6" s="47">
        <f>'Recruit Monitoring Tracker'!B5</f>
        <v/>
      </c>
      <c r="C6" s="48">
        <f>IFERROR(B6/B6,1)</f>
        <v/>
      </c>
      <c r="D6" s="49" t="inlineStr">
        <is>
          <t>Total candidates identified in pipeline</t>
        </is>
      </c>
    </row>
    <row r="7" ht="20" customHeight="1">
      <c r="A7" s="50" t="inlineStr">
        <is>
          <t>2. Attended ADD</t>
        </is>
      </c>
      <c r="B7" s="51">
        <f>'Recruit Monitoring Tracker'!F5</f>
        <v/>
      </c>
      <c r="C7" s="52">
        <f>IFERROR(B7/B6,0)</f>
        <v/>
      </c>
      <c r="D7" s="53" t="inlineStr">
        <is>
          <t>Completed Agency Discovery Day seminar</t>
        </is>
      </c>
    </row>
    <row r="8" ht="20" customHeight="1">
      <c r="A8" s="46" t="inlineStr">
        <is>
          <t>3. Started LMS</t>
        </is>
      </c>
      <c r="B8" s="47">
        <f>COUNTIFS('Recruit Monitoring Tracker'!L9:L65,"&lt;&gt;Not Started",'Recruit Monitoring Tracker'!L9:L65,"&lt;&gt;",'Recruit Monitoring Tracker'!B9:B65,"&lt;&gt;")</f>
        <v/>
      </c>
      <c r="C8" s="48">
        <f>IFERROR(B8/B6,0)</f>
        <v/>
      </c>
      <c r="D8" s="49" t="inlineStr">
        <is>
          <t>Candidate activated LMS &amp; initiated training</t>
        </is>
      </c>
    </row>
    <row r="9" ht="20" customHeight="1">
      <c r="A9" s="50" t="inlineStr">
        <is>
          <t>4. Completed LMS</t>
        </is>
      </c>
      <c r="B9" s="51">
        <f>'Recruit Monitoring Tracker'!N5</f>
        <v/>
      </c>
      <c r="C9" s="52">
        <f>IFERROR(B9/B6,0)</f>
        <v/>
      </c>
      <c r="D9" s="53" t="inlineStr">
        <is>
          <t>Finished 100% of modules &amp; certified</t>
        </is>
      </c>
    </row>
    <row r="10" ht="20" customHeight="1">
      <c r="A10" s="46" t="inlineStr">
        <is>
          <t>5. Ready for Exam</t>
        </is>
      </c>
      <c r="B10" s="47">
        <f>COUNTIF('Recruit Monitoring Tracker'!P9:P65, "*Ready for Exam*")</f>
        <v/>
      </c>
      <c r="C10" s="48">
        <f>IFERROR(B10/B6,0)</f>
        <v/>
      </c>
      <c r="D10" s="49" t="inlineStr">
        <is>
          <t>Endorsed for Insurance Commission Licensing</t>
        </is>
      </c>
    </row>
    <row r="12" ht="22" customHeight="1">
      <c r="A12" s="43" t="inlineStr">
        <is>
          <t>ADD ATTENDANCE BREAKDOWN</t>
        </is>
      </c>
      <c r="D12" s="54" t="inlineStr">
        <is>
          <t>LMS COMPLETION BREAKDOWN</t>
        </is>
      </c>
    </row>
    <row r="13" ht="22" customHeight="1">
      <c r="A13" s="55" t="inlineStr">
        <is>
          <t>ADD Status</t>
        </is>
      </c>
      <c r="B13" s="56" t="inlineStr">
        <is>
          <t>Count</t>
        </is>
      </c>
      <c r="C13" s="56" t="inlineStr">
        <is>
          <t>% Share</t>
        </is>
      </c>
      <c r="D13" s="57" t="inlineStr">
        <is>
          <t>LMS Status</t>
        </is>
      </c>
      <c r="E13" s="58" t="inlineStr">
        <is>
          <t>Count</t>
        </is>
      </c>
      <c r="F13" s="58" t="inlineStr">
        <is>
          <t>% Share</t>
        </is>
      </c>
    </row>
    <row r="14" ht="20" customHeight="1">
      <c r="A14" s="49" t="inlineStr">
        <is>
          <t>Attended (Yes)</t>
        </is>
      </c>
      <c r="B14" s="47">
        <f>COUNTIF('Recruit Monitoring Tracker'!H9:H65, "Yes")</f>
        <v/>
      </c>
      <c r="C14" s="38">
        <f>IFERROR(B14/$B$18, 0)</f>
        <v/>
      </c>
      <c r="D14" s="49" t="inlineStr">
        <is>
          <t>Completed (Yes)</t>
        </is>
      </c>
      <c r="E14" s="47">
        <f>COUNTIF('Recruit Monitoring Tracker'!L9:L65, "Yes")</f>
        <v/>
      </c>
      <c r="F14" s="38">
        <f>IFERROR(E14/$E$18, 0)</f>
        <v/>
      </c>
    </row>
    <row r="15" ht="20" customHeight="1">
      <c r="A15" s="53" t="inlineStr">
        <is>
          <t>Pending / Scheduled</t>
        </is>
      </c>
      <c r="B15" s="51">
        <f>COUNTIF('Recruit Monitoring Tracker'!H9:H65, "Pending")</f>
        <v/>
      </c>
      <c r="C15" s="42">
        <f>IFERROR(B15/$B$18, 0)</f>
        <v/>
      </c>
      <c r="D15" s="53" t="inlineStr">
        <is>
          <t>In Progress</t>
        </is>
      </c>
      <c r="E15" s="51">
        <f>COUNTIF('Recruit Monitoring Tracker'!L9:L65, "In Progress")</f>
        <v/>
      </c>
      <c r="F15" s="42">
        <f>IFERROR(E15/$E$18, 0)</f>
        <v/>
      </c>
    </row>
    <row r="16" ht="20" customHeight="1">
      <c r="A16" s="49" t="inlineStr">
        <is>
          <t>Rescheduled</t>
        </is>
      </c>
      <c r="B16" s="47">
        <f>COUNTIF('Recruit Monitoring Tracker'!H9:H65, "Rescheduled")</f>
        <v/>
      </c>
      <c r="C16" s="38">
        <f>IFERROR(B16/$B$18, 0)</f>
        <v/>
      </c>
      <c r="D16" s="49" t="inlineStr">
        <is>
          <t>Not Started</t>
        </is>
      </c>
      <c r="E16" s="47">
        <f>COUNTIF('Recruit Monitoring Tracker'!L9:L65, "Not Started")</f>
        <v/>
      </c>
      <c r="F16" s="38">
        <f>IFERROR(E16/$E$18, 0)</f>
        <v/>
      </c>
    </row>
    <row r="17" ht="20" customHeight="1">
      <c r="A17" s="53" t="inlineStr">
        <is>
          <t>Missed / No-Show</t>
        </is>
      </c>
      <c r="B17" s="51">
        <f>COUNTIF('Recruit Monitoring Tracker'!H9:H65, "No")</f>
        <v/>
      </c>
      <c r="C17" s="42">
        <f>IFERROR(B17/$B$18, 0)</f>
        <v/>
      </c>
      <c r="D17" s="53" t="inlineStr">
        <is>
          <t>Withdrawn / Dropped</t>
        </is>
      </c>
      <c r="E17" s="51">
        <f>COUNTIF('Recruit Monitoring Tracker'!L9:L65, "Withdrawn")</f>
        <v/>
      </c>
      <c r="F17" s="42">
        <f>IFERROR(E17/$E$18, 0)</f>
        <v/>
      </c>
    </row>
    <row r="18" ht="22" customHeight="1">
      <c r="A18" s="59" t="inlineStr">
        <is>
          <t>Total</t>
        </is>
      </c>
      <c r="B18" s="60">
        <f>SUM(B14:B17)</f>
        <v/>
      </c>
      <c r="C18" s="61">
        <f>SUM(C14:C17)</f>
        <v/>
      </c>
      <c r="D18" s="59" t="inlineStr">
        <is>
          <t>Total</t>
        </is>
      </c>
      <c r="E18" s="60">
        <f>SUM(E14:E17)</f>
        <v/>
      </c>
      <c r="F18" s="61">
        <f>SUM(F14:F17)</f>
        <v/>
      </c>
    </row>
    <row r="20" ht="24" customHeight="1">
      <c r="A20" s="62" t="inlineStr">
        <is>
          <t>RECRUITER &amp; TEAM PERFORMANCE SUMMARY</t>
        </is>
      </c>
    </row>
    <row r="21" ht="24" customHeight="1">
      <c r="A21" s="63" t="inlineStr">
        <is>
          <t>Recruiter / Team Leader</t>
        </is>
      </c>
      <c r="B21" s="64" t="inlineStr">
        <is>
          <t>Total Sourced</t>
        </is>
      </c>
      <c r="C21" s="64" t="inlineStr">
        <is>
          <t>Attended ADD</t>
        </is>
      </c>
      <c r="D21" s="64" t="inlineStr">
        <is>
          <t>ADD Rate %</t>
        </is>
      </c>
      <c r="E21" s="64" t="inlineStr">
        <is>
          <t>Completed LMS</t>
        </is>
      </c>
      <c r="F21" s="64" t="inlineStr">
        <is>
          <t>LMS Rate %</t>
        </is>
      </c>
      <c r="G21" s="64" t="inlineStr">
        <is>
          <t>Ready for Exam</t>
        </is>
      </c>
    </row>
    <row r="22" ht="20" customHeight="1">
      <c r="A22" s="46" t="inlineStr">
        <is>
          <t>Sarah Jenkins (UM)</t>
        </is>
      </c>
      <c r="B22" s="47">
        <f>COUNTIF('Recruit Monitoring Tracker'!E9:E65, "*Sarah Jenkins (UM)*")</f>
        <v/>
      </c>
      <c r="C22" s="65">
        <f>COUNTIFS('Recruit Monitoring Tracker'!E9:E65, "*Sarah Jenkins (UM)*", 'Recruit Monitoring Tracker'!H9:H65, "Yes")</f>
        <v/>
      </c>
      <c r="D22" s="38">
        <f>IFERROR(C22/B22, 0)</f>
        <v/>
      </c>
      <c r="E22" s="65">
        <f>COUNTIFS('Recruit Monitoring Tracker'!E9:E65, "*Sarah Jenkins (UM)*", 'Recruit Monitoring Tracker'!L9:L65, "Yes")</f>
        <v/>
      </c>
      <c r="F22" s="38">
        <f>IFERROR(E22/C22, 0)</f>
        <v/>
      </c>
      <c r="G22" s="47">
        <f>COUNTIFS('Recruit Monitoring Tracker'!E9:E65, "*Sarah Jenkins (UM)*", 'Recruit Monitoring Tracker'!P9:P65, "*Ready for Exam*")</f>
        <v/>
      </c>
    </row>
    <row r="23" ht="20" customHeight="1">
      <c r="A23" s="50" t="inlineStr">
        <is>
          <t>David Tan</t>
        </is>
      </c>
      <c r="B23" s="51">
        <f>COUNTIF('Recruit Monitoring Tracker'!E9:E65, "*David Tan*")</f>
        <v/>
      </c>
      <c r="C23" s="66">
        <f>COUNTIFS('Recruit Monitoring Tracker'!E9:E65, "*David Tan*", 'Recruit Monitoring Tracker'!H9:H65, "Yes")</f>
        <v/>
      </c>
      <c r="D23" s="42">
        <f>IFERROR(C23/B23, 0)</f>
        <v/>
      </c>
      <c r="E23" s="66">
        <f>COUNTIFS('Recruit Monitoring Tracker'!E9:E65, "*David Tan*", 'Recruit Monitoring Tracker'!L9:L65, "Yes")</f>
        <v/>
      </c>
      <c r="F23" s="42">
        <f>IFERROR(E23/C23, 0)</f>
        <v/>
      </c>
      <c r="G23" s="51">
        <f>COUNTIFS('Recruit Monitoring Tracker'!E9:E65, "*David Tan*", 'Recruit Monitoring Tracker'!P9:P65, "*Ready for Exam*")</f>
        <v/>
      </c>
    </row>
    <row r="24" ht="20" customHeight="1">
      <c r="A24" s="46" t="inlineStr">
        <is>
          <t>Elena Gomez</t>
        </is>
      </c>
      <c r="B24" s="47">
        <f>COUNTIF('Recruit Monitoring Tracker'!E9:E65, "*Elena Gomez*")</f>
        <v/>
      </c>
      <c r="C24" s="65">
        <f>COUNTIFS('Recruit Monitoring Tracker'!E9:E65, "*Elena Gomez*", 'Recruit Monitoring Tracker'!H9:H65, "Yes")</f>
        <v/>
      </c>
      <c r="D24" s="38">
        <f>IFERROR(C24/B24, 0)</f>
        <v/>
      </c>
      <c r="E24" s="65">
        <f>COUNTIFS('Recruit Monitoring Tracker'!E9:E65, "*Elena Gomez*", 'Recruit Monitoring Tracker'!L9:L65, "Yes")</f>
        <v/>
      </c>
      <c r="F24" s="38">
        <f>IFERROR(E24/C24, 0)</f>
        <v/>
      </c>
      <c r="G24" s="47">
        <f>COUNTIFS('Recruit Monitoring Tracker'!E9:E65, "*Elena Gomez*", 'Recruit Monitoring Tracker'!P9:P65, "*Ready for Exam*")</f>
        <v/>
      </c>
    </row>
    <row r="25" ht="20" customHeight="1">
      <c r="A25" s="50" t="inlineStr">
        <is>
          <t>Michael Chang</t>
        </is>
      </c>
      <c r="B25" s="51">
        <f>COUNTIF('Recruit Monitoring Tracker'!E9:E65, "*Michael Chang*")</f>
        <v/>
      </c>
      <c r="C25" s="66">
        <f>COUNTIFS('Recruit Monitoring Tracker'!E9:E65, "*Michael Chang*", 'Recruit Monitoring Tracker'!H9:H65, "Yes")</f>
        <v/>
      </c>
      <c r="D25" s="42">
        <f>IFERROR(C25/B25, 0)</f>
        <v/>
      </c>
      <c r="E25" s="66">
        <f>COUNTIFS('Recruit Monitoring Tracker'!E9:E65, "*Michael Chang*", 'Recruit Monitoring Tracker'!L9:L65, "Yes")</f>
        <v/>
      </c>
      <c r="F25" s="42">
        <f>IFERROR(E25/C25, 0)</f>
        <v/>
      </c>
      <c r="G25" s="51">
        <f>COUNTIFS('Recruit Monitoring Tracker'!E9:E65, "*Michael Chang*", 'Recruit Monitoring Tracker'!P9:P65, "*Ready for Exam*")</f>
        <v/>
      </c>
    </row>
    <row r="26" ht="22" customHeight="1">
      <c r="A26" s="59" t="inlineStr">
        <is>
          <t>Total Agency</t>
        </is>
      </c>
      <c r="B26" s="60">
        <f>SUM(B22:B25)</f>
        <v/>
      </c>
      <c r="C26" s="60">
        <f>SUM(C22:C25)</f>
        <v/>
      </c>
      <c r="D26" s="61">
        <f>IFERROR(C26/B26, 0)</f>
        <v/>
      </c>
      <c r="E26" s="60">
        <f>SUM(E22:E25)</f>
        <v/>
      </c>
      <c r="F26" s="61">
        <f>IFERROR(E26/C26, 0)</f>
        <v/>
      </c>
      <c r="G26" s="60">
        <f>SUM(G22:G25)</f>
        <v/>
      </c>
    </row>
  </sheetData>
  <mergeCells count="6">
    <mergeCell ref="A4:D4"/>
    <mergeCell ref="A2:K2"/>
    <mergeCell ref="D12:F12"/>
    <mergeCell ref="A20:G20"/>
    <mergeCell ref="A12:C12"/>
    <mergeCell ref="A1:K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cols>
    <col width="30" customWidth="1" min="1" max="1"/>
    <col width="50" customWidth="1" min="2" max="2"/>
    <col width="6" customWidth="1" min="3" max="3"/>
    <col width="22" customWidth="1" min="4" max="4"/>
    <col width="50" customWidth="1" min="5" max="5"/>
    <col width="6" customWidth="1" min="6" max="6"/>
    <col width="26" customWidth="1" min="7" max="7"/>
    <col width="35" customWidth="1" min="8" max="8"/>
  </cols>
  <sheetData>
    <row r="1" ht="36" customHeight="1">
      <c r="A1" s="1" t="inlineStr">
        <is>
          <t>SYSTEM DROPDOWN LISTS &amp; CONFIGURATION REFERENCE</t>
        </is>
      </c>
    </row>
    <row r="2" ht="20" customHeight="1">
      <c r="A2" s="2" t="inlineStr">
        <is>
          <t>Reference options for tracker dropdown menus, funnel stages, and agency recruiters</t>
        </is>
      </c>
    </row>
    <row r="4" ht="22" customHeight="1">
      <c r="A4" s="43" t="inlineStr">
        <is>
          <t>ADD ATTENDANCE OPTIONS</t>
        </is>
      </c>
      <c r="D4" s="54" t="inlineStr">
        <is>
          <t>LMS COMPLETION OPTIONS</t>
        </is>
      </c>
      <c r="G4" s="62" t="inlineStr">
        <is>
          <t>AGENCY RECRUITERS / LEADERS</t>
        </is>
      </c>
    </row>
    <row r="5" ht="22" customHeight="1">
      <c r="A5" s="67" t="inlineStr">
        <is>
          <t>Option Value</t>
        </is>
      </c>
      <c r="B5" s="67" t="inlineStr">
        <is>
          <t>Definition &amp; Action Trigger</t>
        </is>
      </c>
      <c r="D5" s="68" t="inlineStr">
        <is>
          <t>Option Value</t>
        </is>
      </c>
      <c r="E5" s="68" t="inlineStr">
        <is>
          <t>Definition &amp; Action Trigger</t>
        </is>
      </c>
      <c r="G5" s="69" t="inlineStr">
        <is>
          <t>Recruiter Name</t>
        </is>
      </c>
      <c r="H5" s="69" t="inlineStr">
        <is>
          <t>Role / Designation</t>
        </is>
      </c>
    </row>
    <row r="6" ht="20" customHeight="1">
      <c r="A6" s="70" t="inlineStr">
        <is>
          <t>Yes</t>
        </is>
      </c>
      <c r="B6" s="71" t="inlineStr">
        <is>
          <t>Candidate attended ADD orientation session. Action: Issue LMS credentials.</t>
        </is>
      </c>
      <c r="D6" s="70" t="inlineStr">
        <is>
          <t>Yes</t>
        </is>
      </c>
      <c r="E6" s="71" t="inlineStr">
        <is>
          <t>100% completed &amp; certified. Action: Endorse for Licensing Exam.</t>
        </is>
      </c>
      <c r="G6" s="70" t="inlineStr">
        <is>
          <t>Cedric (cedric.axa1@gmail.com)</t>
        </is>
      </c>
      <c r="H6" s="71" t="inlineStr">
        <is>
          <t>Agency Leader / Recruiter</t>
        </is>
      </c>
    </row>
    <row r="7" ht="20" customHeight="1">
      <c r="A7" s="70" t="inlineStr">
        <is>
          <t>No</t>
        </is>
      </c>
      <c r="B7" s="71" t="inlineStr">
        <is>
          <t>Candidate missed session (no-show). Action: Call back &amp; re-invite to next batch.</t>
        </is>
      </c>
      <c r="D7" s="70" t="inlineStr">
        <is>
          <t>In Progress</t>
        </is>
      </c>
      <c r="E7" s="71" t="inlineStr">
        <is>
          <t>Currently taking modules (20%-90%). Action: Check progress &amp; nudge completion.</t>
        </is>
      </c>
      <c r="G7" s="70" t="inlineStr">
        <is>
          <t>Sarah Jenkins (UM)</t>
        </is>
      </c>
      <c r="H7" s="71" t="inlineStr">
        <is>
          <t>Unit Manager / Agency Leader</t>
        </is>
      </c>
    </row>
    <row r="8" ht="20" customHeight="1">
      <c r="A8" s="70" t="inlineStr">
        <is>
          <t>Rescheduled</t>
        </is>
      </c>
      <c r="B8" s="71" t="inlineStr">
        <is>
          <t>Candidate requested new schedule prior to session. Action: Confirm new batch date.</t>
        </is>
      </c>
      <c r="D8" s="70" t="inlineStr">
        <is>
          <t>Not Started</t>
        </is>
      </c>
      <c r="E8" s="71" t="inlineStr">
        <is>
          <t>Account created or invited, 0% completed. Action: Resend credentials &amp; setup call.</t>
        </is>
      </c>
      <c r="G8" s="70" t="inlineStr">
        <is>
          <t>David Tan</t>
        </is>
      </c>
      <c r="H8" s="71" t="inlineStr">
        <is>
          <t>Senior Financial Advisor / Recruiter</t>
        </is>
      </c>
    </row>
    <row r="9" ht="20" customHeight="1">
      <c r="A9" s="70" t="inlineStr">
        <is>
          <t>Pending</t>
        </is>
      </c>
      <c r="B9" s="71" t="inlineStr">
        <is>
          <t>Candidate confirmed attendance for upcoming ADD batch. Action: Send reminder.</t>
        </is>
      </c>
      <c r="D9" s="70" t="inlineStr">
        <is>
          <t>Withdrawn</t>
        </is>
      </c>
      <c r="E9" s="71" t="inlineStr">
        <is>
          <t>Candidate discontinued application. Action: Archive record or note reason.</t>
        </is>
      </c>
      <c r="G9" s="70" t="inlineStr">
        <is>
          <t>Elena Gomez</t>
        </is>
      </c>
      <c r="H9" s="71" t="inlineStr">
        <is>
          <t>Agency Recruitment Specialist</t>
        </is>
      </c>
    </row>
    <row r="10">
      <c r="G10" s="70" t="inlineStr">
        <is>
          <t>Michael Chang</t>
        </is>
      </c>
      <c r="H10" s="71" t="inlineStr">
        <is>
          <t>Financial Advisor / Associate</t>
        </is>
      </c>
    </row>
    <row r="12" ht="22" customHeight="1">
      <c r="A12" s="72" t="inlineStr">
        <is>
          <t>AUTOMATED PIPELINE STAGES &amp; LOGIC EXPLAINED</t>
        </is>
      </c>
    </row>
    <row r="13" ht="22" customHeight="1">
      <c r="A13" s="73" t="inlineStr">
        <is>
          <t>Pipeline Stage</t>
        </is>
      </c>
      <c r="B13" s="73" t="inlineStr">
        <is>
          <t>Trigger Condition in Workbook Formulas</t>
        </is>
      </c>
    </row>
    <row r="14" ht="20" customHeight="1">
      <c r="A14" s="70" t="inlineStr">
        <is>
          <t>LMS Completed (Ready for Exam)</t>
        </is>
      </c>
      <c r="B14" s="71" t="inlineStr">
        <is>
          <t>Completed LMS? = 'Yes' (Highest milestone achieved; endorse to regulatory exam)</t>
        </is>
      </c>
      <c r="C14" s="74" t="n"/>
      <c r="D14" s="74" t="n"/>
      <c r="E14" s="74" t="n"/>
    </row>
    <row r="15" ht="20" customHeight="1">
      <c r="A15" s="70" t="inlineStr">
        <is>
          <t>LMS In Progress</t>
        </is>
      </c>
      <c r="B15" s="71" t="inlineStr">
        <is>
          <t>Completed LMS? = 'In Progress' (Recruit is actively doing training modules)</t>
        </is>
      </c>
      <c r="C15" s="74" t="n"/>
      <c r="D15" s="74" t="n"/>
      <c r="E15" s="74" t="n"/>
    </row>
    <row r="16" ht="20" customHeight="1">
      <c r="A16" s="70" t="inlineStr">
        <is>
          <t>ADD Attended - Awaiting LMS</t>
        </is>
      </c>
      <c r="B16" s="71" t="inlineStr">
        <is>
          <t>Attended ADD? = 'Yes' and LMS not yet started (Ready to receive credentials)</t>
        </is>
      </c>
      <c r="C16" s="74" t="n"/>
      <c r="D16" s="74" t="n"/>
      <c r="E16" s="74" t="n"/>
    </row>
    <row r="17" ht="20" customHeight="1">
      <c r="A17" s="70" t="inlineStr">
        <is>
          <t>ADD Scheduled</t>
        </is>
      </c>
      <c r="B17" s="71" t="inlineStr">
        <is>
          <t>Attended ADD? = 'Pending' (Invite sent, scheduled for orientation)</t>
        </is>
      </c>
      <c r="C17" s="74" t="n"/>
      <c r="D17" s="74" t="n"/>
      <c r="E17" s="74" t="n"/>
    </row>
    <row r="18" ht="20" customHeight="1">
      <c r="A18" s="70" t="inlineStr">
        <is>
          <t>ADD Rescheduled</t>
        </is>
      </c>
      <c r="B18" s="71" t="inlineStr">
        <is>
          <t>Attended ADD? = 'Rescheduled' (Candidate requested future batch)</t>
        </is>
      </c>
      <c r="C18" s="74" t="n"/>
      <c r="D18" s="74" t="n"/>
      <c r="E18" s="74" t="n"/>
    </row>
    <row r="19" ht="20" customHeight="1">
      <c r="A19" s="70" t="inlineStr">
        <is>
          <t>ADD Missed - Follow Up</t>
        </is>
      </c>
      <c r="B19" s="71" t="inlineStr">
        <is>
          <t>Attended ADD? = 'No' (Candidate did not attend; requires urgent re-engagement)</t>
        </is>
      </c>
      <c r="C19" s="74" t="n"/>
      <c r="D19" s="74" t="n"/>
      <c r="E19" s="74" t="n"/>
    </row>
  </sheetData>
  <mergeCells count="13">
    <mergeCell ref="A4:B4"/>
    <mergeCell ref="G4:H4"/>
    <mergeCell ref="B17:E17"/>
    <mergeCell ref="A12:E12"/>
    <mergeCell ref="B18:E18"/>
    <mergeCell ref="B13:E13"/>
    <mergeCell ref="A2:H2"/>
    <mergeCell ref="B16:E16"/>
    <mergeCell ref="B15:E15"/>
    <mergeCell ref="D4:E4"/>
    <mergeCell ref="B19:E19"/>
    <mergeCell ref="A1:H1"/>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s>
  <sheetData>
    <row r="1" ht="36" customHeight="1">
      <c r="A1" s="1" t="inlineStr">
        <is>
          <t>RECRUIT MONITORING TRACKER - USER GUIDE &amp; BEST PRACTICES</t>
        </is>
      </c>
    </row>
    <row r="2" ht="20" customHeight="1">
      <c r="A2" s="2" t="inlineStr">
        <is>
          <t>Step-by-step operating guide for tracking candidate journey from ADD attendance to LMS completion</t>
        </is>
      </c>
    </row>
    <row r="4" ht="24" customHeight="1">
      <c r="A4" s="75" t="inlineStr">
        <is>
          <t>1. OVERVIEW &amp; OBJECTIVE</t>
        </is>
      </c>
    </row>
    <row r="5" ht="36" customHeight="1">
      <c r="A5" s="76" t="inlineStr">
        <is>
          <t>Purpose</t>
        </is>
      </c>
      <c r="B5" s="77" t="inlineStr">
        <is>
          <t>This workbook is customized for agency leaders and recruiters to track candidates systematically through the two critical recruitment hurdles: (1) Attending ADD (Agency / Agent Discovery Day) and (2) Completing LMS (Learning Management System pre-licensing training).</t>
        </is>
      </c>
      <c r="C5" s="78" t="n"/>
      <c r="D5" s="78" t="n"/>
      <c r="E5" s="78" t="n"/>
      <c r="F5" s="78" t="n"/>
      <c r="G5" s="78" t="n"/>
    </row>
    <row r="6" ht="36" customHeight="1">
      <c r="A6" s="76" t="inlineStr">
        <is>
          <t>Design</t>
        </is>
      </c>
      <c r="B6" s="77" t="inlineStr">
        <is>
          <t>Automated KPI summary cards, formula-driven pipeline stage classification, built-in data validation dropdowns, visual color highlighting, and a full executive analytics dashboard.</t>
        </is>
      </c>
      <c r="C6" s="78" t="n"/>
      <c r="D6" s="78" t="n"/>
      <c r="E6" s="78" t="n"/>
      <c r="F6" s="78" t="n"/>
      <c r="G6" s="78" t="n"/>
    </row>
    <row r="8" ht="24" customHeight="1">
      <c r="A8" s="75" t="inlineStr">
        <is>
          <t>2. STEP-BY-STEP RECRUITMENT WORKFLOW</t>
        </is>
      </c>
    </row>
    <row r="9" ht="36" customHeight="1">
      <c r="A9" s="76" t="inlineStr">
        <is>
          <t>Step 1: Input Recruit Profile</t>
        </is>
      </c>
      <c r="B9" s="77" t="inlineStr">
        <is>
          <t>Type the recruit's Complete Name in Column B (Last Name, First Name M.I.). The Recruit ID (Column A) will automatically generate! Enter contact number, email, and the sourcing recruiter.</t>
        </is>
      </c>
      <c r="C9" s="78" t="n"/>
      <c r="D9" s="78" t="n"/>
      <c r="E9" s="78" t="n"/>
      <c r="F9" s="78" t="n"/>
      <c r="G9" s="78" t="n"/>
    </row>
    <row r="10" ht="36" customHeight="1">
      <c r="A10" s="76" t="inlineStr">
        <is>
          <t>Step 2: Monitor ADD Attendance</t>
        </is>
      </c>
      <c r="B10" s="77" t="inlineStr">
        <is>
          <t>Enter the ADD Scheduled Date in Col G. When the session concludes, set 'Attended ADD?' (Col H) to 'Yes', 'No', or 'Rescheduled' using the dropdown menu. Record the actual date attended in Col I and brief feedback in Col J.</t>
        </is>
      </c>
      <c r="C10" s="78" t="n"/>
      <c r="D10" s="78" t="n"/>
      <c r="E10" s="78" t="n"/>
      <c r="F10" s="78" t="n"/>
      <c r="G10" s="78" t="n"/>
    </row>
    <row r="11" ht="36" customHeight="1">
      <c r="A11" s="76" t="inlineStr">
        <is>
          <t>Step 3: Track LMS Completion</t>
        </is>
      </c>
      <c r="B11" s="77" t="inlineStr">
        <is>
          <t>Once the recruit passes ADD, issue LMS access (Col K). As the candidate studies, update 'Completed LMS?' (Col L) to 'In Progress' or 'Yes'. Enter their module progress % in Col N (e.g. 50%, 100%) and certification details in Col O.</t>
        </is>
      </c>
      <c r="C11" s="78" t="n"/>
      <c r="D11" s="78" t="n"/>
      <c r="E11" s="78" t="n"/>
      <c r="F11" s="78" t="n"/>
      <c r="G11" s="78" t="n"/>
    </row>
    <row r="12" ht="36" customHeight="1">
      <c r="A12" s="76" t="inlineStr">
        <is>
          <t>Step 4: Execute Next Actions</t>
        </is>
      </c>
      <c r="B12" s="77" t="inlineStr">
        <is>
          <t>The workbook will automatically update 'Current Pipeline Stage' (Col P). Refer to this column to see who is 'Ready for Exam', who is 'LMS In Progress', and who missed ADD. Enter the Next Action (Col Q) and Follow-up Date (Col R).</t>
        </is>
      </c>
      <c r="C12" s="78" t="n"/>
      <c r="D12" s="78" t="n"/>
      <c r="E12" s="78" t="n"/>
      <c r="F12" s="78" t="n"/>
      <c r="G12" s="78" t="n"/>
    </row>
    <row r="14" ht="24" customHeight="1">
      <c r="A14" s="75" t="inlineStr">
        <is>
          <t>3. KEY METRICS &amp; FORMULA AUTOMATION</t>
        </is>
      </c>
    </row>
    <row r="15" ht="36" customHeight="1">
      <c r="A15" s="76" t="inlineStr">
        <is>
          <t>Attendance Rate %</t>
        </is>
      </c>
      <c r="B15" s="77" t="inlineStr">
        <is>
          <t>Calculates Attended ADD / Total Recruits Sourced. Benchmark target is &gt;= 70%.</t>
        </is>
      </c>
      <c r="C15" s="78" t="n"/>
      <c r="D15" s="78" t="n"/>
      <c r="E15" s="78" t="n"/>
      <c r="F15" s="78" t="n"/>
      <c r="G15" s="78" t="n"/>
    </row>
    <row r="16" ht="36" customHeight="1">
      <c r="A16" s="76" t="inlineStr">
        <is>
          <t>Completion Rate %</t>
        </is>
      </c>
      <c r="B16" s="77" t="inlineStr">
        <is>
          <t>Calculates Completed LMS / Attended ADD. Benchmark target is &gt;= 60%.</t>
        </is>
      </c>
      <c r="C16" s="78" t="n"/>
      <c r="D16" s="78" t="n"/>
      <c r="E16" s="78" t="n"/>
      <c r="F16" s="78" t="n"/>
      <c r="G16" s="78" t="n"/>
    </row>
    <row r="17" ht="36" customHeight="1">
      <c r="A17" s="76" t="inlineStr">
        <is>
          <t>Funnel Conversion %</t>
        </is>
      </c>
      <c r="B17" s="77" t="inlineStr">
        <is>
          <t>Calculates Completed LMS / Total Recruits Sourced. Benchmark target is &gt;= 40%.</t>
        </is>
      </c>
      <c r="C17" s="78" t="n"/>
      <c r="D17" s="78" t="n"/>
      <c r="E17" s="78" t="n"/>
      <c r="F17" s="78" t="n"/>
      <c r="G17" s="78" t="n"/>
    </row>
    <row r="18" ht="36" customHeight="1">
      <c r="A18" s="76" t="inlineStr">
        <is>
          <t>Adding New Recruits</t>
        </is>
      </c>
      <c r="B18" s="77" t="inlineStr">
        <is>
          <t>Rows 15 to 65 are pre-formatted with all dropdowns, formulas, and borders. Simply start typing in Column B (Complete Name), and the entire row will activate automatically!</t>
        </is>
      </c>
      <c r="C18" s="78" t="n"/>
      <c r="D18" s="78" t="n"/>
      <c r="E18" s="78" t="n"/>
      <c r="F18" s="78" t="n"/>
      <c r="G18" s="78" t="n"/>
    </row>
    <row r="20" ht="24" customHeight="1">
      <c r="A20" s="75" t="inlineStr">
        <is>
          <t>4. BEST PRACTICES FOR RECRUITING SUCCESS</t>
        </is>
      </c>
    </row>
    <row r="21" ht="36" customHeight="1">
      <c r="A21" s="76" t="inlineStr">
        <is>
          <t>The 24-Hour Rule</t>
        </is>
      </c>
      <c r="B21" s="77" t="inlineStr">
        <is>
          <t>Reach out to ADD attendees within 24 hours while interest is fresh to set up LMS credentials.</t>
        </is>
      </c>
      <c r="C21" s="78" t="n"/>
      <c r="D21" s="78" t="n"/>
      <c r="E21" s="78" t="n"/>
      <c r="F21" s="78" t="n"/>
      <c r="G21" s="78" t="n"/>
    </row>
    <row r="22" ht="36" customHeight="1">
      <c r="A22" s="76" t="inlineStr">
        <is>
          <t>LMS Momentum Window</t>
        </is>
      </c>
      <c r="B22" s="77" t="inlineStr">
        <is>
          <t>Encourage recruits to complete the 6 LMS modules within 7 to 10 days before enthusiasm wanes.</t>
        </is>
      </c>
      <c r="C22" s="78" t="n"/>
      <c r="D22" s="78" t="n"/>
      <c r="E22" s="78" t="n"/>
      <c r="F22" s="78" t="n"/>
      <c r="G22" s="78" t="n"/>
    </row>
    <row r="23" ht="36" customHeight="1">
      <c r="A23" s="76" t="inlineStr">
        <is>
          <t>Re-scheduling Protocol</t>
        </is>
      </c>
      <c r="B23" s="77" t="inlineStr">
        <is>
          <t>For no-shows ('No'), call within 48 hours to offer 1-on-1 career briefing or reschedule to the next ADD batch.</t>
        </is>
      </c>
      <c r="C23" s="78" t="n"/>
      <c r="D23" s="78" t="n"/>
      <c r="E23" s="78" t="n"/>
      <c r="F23" s="78" t="n"/>
      <c r="G23" s="78" t="n"/>
    </row>
    <row r="24" ht="36" customHeight="1">
      <c r="A24" s="76" t="inlineStr">
        <is>
          <t>Mock Exam Review</t>
        </is>
      </c>
      <c r="B24" s="77" t="inlineStr">
        <is>
          <t>Once LMS is Completed ('Yes'), immediately schedule a practice mock test before filing for the licensing exam.</t>
        </is>
      </c>
      <c r="C24" s="78" t="n"/>
      <c r="D24" s="78" t="n"/>
      <c r="E24" s="78" t="n"/>
      <c r="F24" s="78" t="n"/>
      <c r="G24" s="78" t="n"/>
    </row>
  </sheetData>
  <mergeCells count="20">
    <mergeCell ref="A14:G14"/>
    <mergeCell ref="A8:G8"/>
    <mergeCell ref="B17:G17"/>
    <mergeCell ref="B23:G23"/>
    <mergeCell ref="A4:G4"/>
    <mergeCell ref="A20:G20"/>
    <mergeCell ref="B10:G10"/>
    <mergeCell ref="B9:G9"/>
    <mergeCell ref="B15:G15"/>
    <mergeCell ref="B6:G6"/>
    <mergeCell ref="B24:G24"/>
    <mergeCell ref="A1:G1"/>
    <mergeCell ref="B5:G5"/>
    <mergeCell ref="B16:G16"/>
    <mergeCell ref="B22:G22"/>
    <mergeCell ref="A2:G2"/>
    <mergeCell ref="B12:G12"/>
    <mergeCell ref="B18:G18"/>
    <mergeCell ref="B21:G21"/>
    <mergeCell ref="B11:G11"/>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G27"/>
  <sheetViews>
    <sheetView showGridLines="1" workbookViewId="0">
      <selection activeCell="A1" sqref="A1"/>
    </sheetView>
  </sheetViews>
  <sheetFormatPr baseColWidth="8" defaultRowHeight="15"/>
  <cols>
    <col width="20" customWidth="1" min="1" max="1"/>
    <col width="16" customWidth="1" min="2" max="2"/>
    <col width="16" customWidth="1" min="3" max="3"/>
    <col width="18" customWidth="1" min="4" max="4"/>
    <col width="14" customWidth="1" min="5" max="5"/>
    <col width="14" customWidth="1" min="6" max="6"/>
    <col width="14" customWidth="1" min="7" max="7"/>
  </cols>
  <sheetData>
    <row r="1" ht="30" customHeight="1">
      <c r="A1" s="79" t="inlineStr">
        <is>
          <t>AGENCY DISCOVERY DAY (ADD) — REGISTRATION FORM</t>
        </is>
      </c>
    </row>
    <row r="2" ht="18" customHeight="1">
      <c r="A2" s="80" t="inlineStr">
        <is>
          <t>Candidate Career Orientation Intake Slip | Pre-Licensing Recruitment Pipeline</t>
        </is>
      </c>
    </row>
    <row r="3" ht="8" customHeight="1"/>
    <row r="4" ht="20" customHeight="1">
      <c r="A4" s="75" t="inlineStr">
        <is>
          <t>1. CANDIDATE PERSONAL INFORMATION</t>
        </is>
      </c>
    </row>
    <row r="5" ht="22" customHeight="1">
      <c r="A5" s="81" t="inlineStr">
        <is>
          <t>Complete Name:</t>
        </is>
      </c>
      <c r="B5" s="82" t="inlineStr">
        <is>
          <t>Last Name, First Name M.I.</t>
        </is>
      </c>
    </row>
    <row r="6" ht="22" customHeight="1">
      <c r="A6" s="81" t="inlineStr">
        <is>
          <t>Mobile Number:</t>
        </is>
      </c>
      <c r="B6" s="82" t="inlineStr">
        <is>
          <t>+63 9XX XXX XXXX</t>
        </is>
      </c>
      <c r="D6" s="81" t="inlineStr">
        <is>
          <t>Email Address:</t>
        </is>
      </c>
      <c r="E6" s="82" t="inlineStr">
        <is>
          <t>candidate@email.com</t>
        </is>
      </c>
    </row>
    <row r="7" ht="22" customHeight="1">
      <c r="A7" s="81" t="inlineStr">
        <is>
          <t>Date of Birth:</t>
        </is>
      </c>
      <c r="B7" s="82" t="inlineStr">
        <is>
          <t>YYYY-MM-DD</t>
        </is>
      </c>
      <c r="D7" s="81" t="inlineStr">
        <is>
          <t>Civil Status:</t>
        </is>
      </c>
      <c r="E7" s="83" t="inlineStr">
        <is>
          <t>[ ] Single   [ ] Married   [ ] Other</t>
        </is>
      </c>
    </row>
    <row r="8" ht="22" customHeight="1">
      <c r="A8" s="81" t="inlineStr">
        <is>
          <t>City / Address:</t>
        </is>
      </c>
      <c r="B8" s="82" t="inlineStr">
        <is>
          <t>City, Province</t>
        </is>
      </c>
    </row>
    <row r="9" ht="6" customHeight="1"/>
    <row r="10" ht="20" customHeight="1">
      <c r="A10" s="75" t="inlineStr">
        <is>
          <t>2. BACKGROUND &amp; CURRENT OCCUPATION</t>
        </is>
      </c>
    </row>
    <row r="11" ht="22" customHeight="1">
      <c r="A11" s="81" t="inlineStr">
        <is>
          <t>Current Field:</t>
        </is>
      </c>
      <c r="B11" s="83" t="inlineStr">
        <is>
          <t>[ ] Employed   [ ] Business   [ ] Freelance</t>
        </is>
      </c>
      <c r="D11" s="81" t="inlineStr">
        <is>
          <t>Current Company / Role:</t>
        </is>
      </c>
      <c r="E11" s="82" t="inlineStr">
        <is>
          <t>Job Title / Employer</t>
        </is>
      </c>
    </row>
    <row r="12" ht="22" customHeight="1">
      <c r="A12" s="81" t="inlineStr">
        <is>
          <t>Education:</t>
        </is>
      </c>
      <c r="B12" s="82" t="inlineStr">
        <is>
          <t>College Degree / Course</t>
        </is>
      </c>
      <c r="D12" s="81" t="inlineStr">
        <is>
          <t>Work Experience:</t>
        </is>
      </c>
      <c r="E12" s="83" t="inlineStr">
        <is>
          <t>[ ] &lt;1 yr   [ ] 1-3 yrs   [ ] 3-5 yrs   [ ] 5+ yrs</t>
        </is>
      </c>
    </row>
    <row r="13" ht="6" customHeight="1"/>
    <row r="14" ht="20" customHeight="1">
      <c r="A14" s="75" t="inlineStr">
        <is>
          <t>3. SOURCING &amp; ADD ORIENTATION SCHEDULE</t>
        </is>
      </c>
    </row>
    <row r="15" ht="22" customHeight="1">
      <c r="A15" s="81" t="inlineStr">
        <is>
          <t>Invited By (Recruiter):</t>
        </is>
      </c>
      <c r="B15" s="82" t="inlineStr">
        <is>
          <t>Cedric (cedric.axa1@gmail.com)</t>
        </is>
      </c>
      <c r="D15" s="81" t="inlineStr">
        <is>
          <t>Date Invited / Sourced:</t>
        </is>
      </c>
      <c r="E15" s="83" t="inlineStr">
        <is>
          <t>2026-09-15</t>
        </is>
      </c>
    </row>
    <row r="16" ht="22" customHeight="1">
      <c r="A16" s="81" t="inlineStr">
        <is>
          <t>Preferred ADD Session:</t>
        </is>
      </c>
      <c r="B16" s="83" t="inlineStr">
        <is>
          <t>[ ] Saturday Morning (10 AM)   [ ] Saturday Afternoon (2 PM)</t>
        </is>
      </c>
      <c r="D16" s="81" t="inlineStr">
        <is>
          <t>Orientation Mode:</t>
        </is>
      </c>
      <c r="E16" s="83" t="inlineStr">
        <is>
          <t>[ ] Online via Zoom   [ ] Branch / In-Person</t>
        </is>
      </c>
    </row>
    <row r="17" ht="6" customHeight="1"/>
    <row r="18" ht="20" customHeight="1">
      <c r="A18" s="75" t="inlineStr">
        <is>
          <t>4. MOTIVATION &amp; CAREER OBJECTIVES</t>
        </is>
      </c>
    </row>
    <row r="19" ht="22" customHeight="1">
      <c r="A19" s="81" t="inlineStr">
        <is>
          <t>Primary Motivation:</t>
        </is>
      </c>
      <c r="B19" s="83" t="inlineStr">
        <is>
          <t>[ ] Unlimited Income Potential   [ ] Flexible Time   [ ] Work from Home   [ ] Helping Others</t>
        </is>
      </c>
    </row>
    <row r="20" ht="22" customHeight="1">
      <c r="A20" s="81" t="inlineStr">
        <is>
          <t>Career Mode:</t>
        </is>
      </c>
      <c r="B20" s="83" t="inlineStr">
        <is>
          <t>[ ] Full-Time Financial Advisor     [ ] Part-Time Financial Advisor     [ ] Exploring / Open-Minded</t>
        </is>
      </c>
    </row>
    <row r="21" ht="6" customHeight="1"/>
    <row r="22" ht="20" customHeight="1">
      <c r="A22" s="75" t="inlineStr">
        <is>
          <t>5. CONFIRMATION &amp; OFFICE USE ONLY</t>
        </is>
      </c>
    </row>
    <row r="23" ht="24" customHeight="1">
      <c r="A23" s="81" t="inlineStr">
        <is>
          <t>Candidate Signature:</t>
        </is>
      </c>
      <c r="B23" s="84" t="inlineStr">
        <is>
          <t>____________________________</t>
        </is>
      </c>
      <c r="D23" s="81" t="inlineStr">
        <is>
          <t>Date Signed:</t>
        </is>
      </c>
      <c r="E23" s="84" t="inlineStr">
        <is>
          <t>____________________________</t>
        </is>
      </c>
    </row>
    <row r="24" ht="20" customHeight="1">
      <c r="A24" s="85" t="inlineStr">
        <is>
          <t>--- FOR AGENCY / UNIT MANAGER USE ONLY ---</t>
        </is>
      </c>
      <c r="B24" s="86" t="n"/>
      <c r="C24" s="86" t="n"/>
      <c r="D24" s="86" t="n"/>
      <c r="E24" s="86" t="n"/>
      <c r="F24" s="86" t="n"/>
      <c r="G24" s="87" t="n"/>
    </row>
    <row r="25" ht="20" customHeight="1">
      <c r="A25" s="88" t="inlineStr">
        <is>
          <t>Assigned Recruit ID:</t>
        </is>
      </c>
      <c r="B25" s="89" t="inlineStr">
        <is>
          <t>REC-_____</t>
        </is>
      </c>
      <c r="C25" s="87" t="n"/>
      <c r="D25" s="88" t="inlineStr">
        <is>
          <t>ADD Attendance:</t>
        </is>
      </c>
      <c r="E25" s="89" t="inlineStr">
        <is>
          <t>[ ] Attended (Date: ________)   [ ] Rescheduled</t>
        </is>
      </c>
      <c r="F25" s="86" t="n"/>
      <c r="G25" s="87" t="n"/>
    </row>
    <row r="26" ht="20" customHeight="1">
      <c r="A26" s="88" t="inlineStr">
        <is>
          <t>LMS Endorsement:</t>
        </is>
      </c>
      <c r="B26" s="89" t="inlineStr">
        <is>
          <t>[ ] Approved for LMS Modules</t>
        </is>
      </c>
      <c r="C26" s="87" t="n"/>
      <c r="D26" s="88" t="inlineStr">
        <is>
          <t>LMS Setup Date:</t>
        </is>
      </c>
      <c r="E26" s="89" t="inlineStr">
        <is>
          <t>Credentials Sent Date: ________</t>
        </is>
      </c>
      <c r="F26" s="86" t="n"/>
      <c r="G26" s="87" t="n"/>
    </row>
    <row r="27" ht="20" customHeight="1">
      <c r="A27" s="88" t="inlineStr">
        <is>
          <t>UM / Recruiter Sign:</t>
        </is>
      </c>
      <c r="B27" s="89" t="inlineStr">
        <is>
          <t>_______________________</t>
        </is>
      </c>
      <c r="C27" s="87" t="n"/>
      <c r="D27" s="88" t="inlineStr">
        <is>
          <t>Overall Status:</t>
        </is>
      </c>
      <c r="E27" s="89" t="inlineStr">
        <is>
          <t>[ ] Active In Pipeline   [ ] Ready for Exam</t>
        </is>
      </c>
      <c r="F27" s="86" t="n"/>
      <c r="G27" s="87" t="n"/>
    </row>
  </sheetData>
  <mergeCells count="32">
    <mergeCell ref="A14:G14"/>
    <mergeCell ref="B16:C16"/>
    <mergeCell ref="B7:C7"/>
    <mergeCell ref="B25:C25"/>
    <mergeCell ref="A22:G22"/>
    <mergeCell ref="A4:G4"/>
    <mergeCell ref="B8:G8"/>
    <mergeCell ref="B27:C27"/>
    <mergeCell ref="E15:G15"/>
    <mergeCell ref="A10:G10"/>
    <mergeCell ref="E6:G6"/>
    <mergeCell ref="B12:C12"/>
    <mergeCell ref="B19:G19"/>
    <mergeCell ref="E11:G11"/>
    <mergeCell ref="B11:C11"/>
    <mergeCell ref="E27:G27"/>
    <mergeCell ref="B23:C23"/>
    <mergeCell ref="A24:G24"/>
    <mergeCell ref="E26:G26"/>
    <mergeCell ref="E7:G7"/>
    <mergeCell ref="E25:G25"/>
    <mergeCell ref="E16:G16"/>
    <mergeCell ref="B20:G20"/>
    <mergeCell ref="A1:G1"/>
    <mergeCell ref="B5:G5"/>
    <mergeCell ref="E12:G12"/>
    <mergeCell ref="B6:C6"/>
    <mergeCell ref="B15:C15"/>
    <mergeCell ref="A18:G18"/>
    <mergeCell ref="E23:G23"/>
    <mergeCell ref="A2:G2"/>
    <mergeCell ref="B26:C26"/>
  </mergeCells>
  <pageMargins left="0.75" right="0.75" top="1" bottom="1"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2026-09-15T03:16:50Z</dcterms:created>
  <dcterms:modified xsi:type="dcterms:W3CDTF">2026-09-15T03:16:50Z</dcterms:modified>
</cp:coreProperties>
</file>