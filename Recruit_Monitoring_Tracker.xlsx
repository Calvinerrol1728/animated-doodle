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 name="ADD Registration Form" sheetId="5" state="visible" r:id="rId5"/>
    <sheet name="Recruiter Directory &amp; IDs"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34">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
      <name val="Calibri"/>
      <b val="1"/>
      <color rgb="00FFFFFF"/>
      <sz val="15"/>
    </font>
    <font>
      <name val="Calibri"/>
      <i val="1"/>
      <color rgb="00E2E8F0"/>
      <sz val="9.5"/>
    </font>
    <font>
      <name val="Calibri"/>
      <b val="1"/>
      <color rgb="00334155"/>
      <sz val="9"/>
    </font>
    <font>
      <name val="Calibri"/>
      <i val="1"/>
      <color rgb="0064748B"/>
      <sz val="8"/>
    </font>
    <font>
      <name val="Calibri"/>
      <color rgb="000F172A"/>
      <sz val="9.5"/>
    </font>
    <font>
      <name val="Calibri"/>
      <b val="1"/>
      <color rgb="001E3A8A"/>
      <sz val="9.5"/>
    </font>
    <font>
      <name val="Calibri"/>
      <i val="1"/>
      <color rgb="001E293B"/>
      <sz val="9.5"/>
    </font>
    <font>
      <name val="Calibri"/>
      <b val="1"/>
      <color rgb="001E40AF"/>
      <sz val="18"/>
    </font>
    <font>
      <name val="Calibri"/>
      <b val="1"/>
      <color rgb="0015803D"/>
      <sz val="18"/>
    </font>
    <font>
      <name val="Calibri"/>
      <b val="1"/>
      <color rgb="00B45309"/>
      <sz val="18"/>
    </font>
    <font>
      <name val="Calibri"/>
      <b val="1"/>
      <color rgb="000369A1"/>
      <sz val="18"/>
    </font>
    <font>
      <name val="Calibri"/>
      <b val="1"/>
      <color rgb="00FFFFFF"/>
      <sz val="9.5"/>
    </font>
    <font>
      <name val="Calibri"/>
      <b val="1"/>
      <color rgb="000F172A"/>
      <sz val="9.5"/>
    </font>
  </fonts>
  <fills count="20">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
      <patternFill patternType="solid">
        <fgColor rgb="00EFF6FF"/>
        <bgColor rgb="00EFF6FF"/>
      </patternFill>
    </fill>
  </fills>
  <borders count="14">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bottom style="thin">
        <color rgb="0094A3B8"/>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10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xf numFmtId="0" fontId="21" fillId="2" borderId="0" applyAlignment="1" pivotButton="0" quotePrefix="0" xfId="0">
      <alignment horizontal="center" vertical="center"/>
    </xf>
    <xf numFmtId="0" fontId="22" fillId="12" borderId="0" applyAlignment="1" pivotButton="0" quotePrefix="0" xfId="0">
      <alignment horizontal="center" vertical="center"/>
    </xf>
    <xf numFmtId="0" fontId="23" fillId="0" borderId="0" pivotButton="0" quotePrefix="0" xfId="0"/>
    <xf numFmtId="0" fontId="24" fillId="0" borderId="9" pivotButton="0" quotePrefix="0" xfId="0"/>
    <xf numFmtId="0" fontId="25" fillId="0" borderId="9" pivotButton="0" quotePrefix="0" xfId="0"/>
    <xf numFmtId="0" fontId="25" fillId="0" borderId="0" pivotButton="0" quotePrefix="0" xfId="0"/>
    <xf numFmtId="0" fontId="26" fillId="19" borderId="7" applyAlignment="1" pivotButton="0" quotePrefix="0" xfId="0">
      <alignment horizontal="center" vertical="center"/>
    </xf>
    <xf numFmtId="0" fontId="0" fillId="0" borderId="12" pivotButton="0" quotePrefix="0" xfId="0"/>
    <xf numFmtId="0" fontId="0" fillId="0" borderId="13" pivotButton="0" quotePrefix="0" xfId="0"/>
    <xf numFmtId="0" fontId="23" fillId="19" borderId="7" pivotButton="0" quotePrefix="0" xfId="0"/>
    <xf numFmtId="0" fontId="25" fillId="19" borderId="7" pivotButton="0" quotePrefix="0" xfId="0"/>
    <xf numFmtId="0" fontId="27" fillId="3" borderId="0" applyAlignment="1" pivotButton="0" quotePrefix="0" xfId="0">
      <alignment horizontal="center" vertical="center"/>
    </xf>
    <xf numFmtId="3" fontId="28" fillId="4" borderId="1" applyAlignment="1" pivotButton="0" quotePrefix="0" xfId="0">
      <alignment horizontal="center" vertical="center"/>
    </xf>
    <xf numFmtId="3" fontId="29" fillId="7" borderId="4" applyAlignment="1" pivotButton="0" quotePrefix="0" xfId="0">
      <alignment horizontal="center" vertical="center"/>
    </xf>
    <xf numFmtId="3" fontId="30" fillId="6" borderId="3" applyAlignment="1" pivotButton="0" quotePrefix="0" xfId="0">
      <alignment horizontal="center" vertical="center"/>
    </xf>
    <xf numFmtId="3" fontId="31" fillId="5" borderId="2" applyAlignment="1" pivotButton="0" quotePrefix="0" xfId="0">
      <alignment horizontal="center" vertical="center"/>
    </xf>
    <xf numFmtId="0" fontId="32" fillId="2" borderId="6" applyAlignment="1" pivotButton="0" quotePrefix="0" xfId="0">
      <alignment horizontal="center" vertical="center" wrapText="1"/>
    </xf>
    <xf numFmtId="0" fontId="32" fillId="2" borderId="6" applyAlignment="1" pivotButton="0" quotePrefix="0" xfId="0">
      <alignment horizontal="left" vertical="center" wrapText="1"/>
    </xf>
    <xf numFmtId="0" fontId="33" fillId="16" borderId="7" applyAlignment="1" pivotButton="0" quotePrefix="0" xfId="0">
      <alignment horizontal="center" vertical="center"/>
    </xf>
    <xf numFmtId="0" fontId="33" fillId="16" borderId="7" applyAlignment="1" pivotButton="0" quotePrefix="0" xfId="0">
      <alignment horizontal="left" vertical="center"/>
    </xf>
    <xf numFmtId="0" fontId="25" fillId="16" borderId="7" applyAlignment="1" pivotButton="0" quotePrefix="0" xfId="0">
      <alignment horizontal="left" vertical="center"/>
    </xf>
    <xf numFmtId="0" fontId="25" fillId="16" borderId="7" applyAlignment="1" pivotButton="0" quotePrefix="0" xfId="0">
      <alignment horizontal="center" vertical="center"/>
    </xf>
    <xf numFmtId="3" fontId="33" fillId="16" borderId="7" applyAlignment="1" pivotButton="0" quotePrefix="0" xfId="0">
      <alignment horizontal="center" vertical="center"/>
    </xf>
    <xf numFmtId="3" fontId="25" fillId="16" borderId="7" applyAlignment="1" pivotButton="0" quotePrefix="0" xfId="0">
      <alignment horizontal="center" vertical="center"/>
    </xf>
    <xf numFmtId="0" fontId="33" fillId="17" borderId="7" applyAlignment="1" pivotButton="0" quotePrefix="0" xfId="0">
      <alignment horizontal="center" vertical="center"/>
    </xf>
    <xf numFmtId="0" fontId="33" fillId="17" borderId="7" applyAlignment="1" pivotButton="0" quotePrefix="0" xfId="0">
      <alignment horizontal="left" vertical="center"/>
    </xf>
    <xf numFmtId="0" fontId="25" fillId="17" borderId="7" applyAlignment="1" pivotButton="0" quotePrefix="0" xfId="0">
      <alignment horizontal="left" vertical="center"/>
    </xf>
    <xf numFmtId="0" fontId="25" fillId="17" borderId="7" applyAlignment="1" pivotButton="0" quotePrefix="0" xfId="0">
      <alignment horizontal="center" vertical="center"/>
    </xf>
    <xf numFmtId="3" fontId="33" fillId="17" borderId="7" applyAlignment="1" pivotButton="0" quotePrefix="0" xfId="0">
      <alignment horizontal="center" vertical="center"/>
    </xf>
    <xf numFmtId="3" fontId="25" fillId="17" borderId="7" applyAlignment="1" pivotButton="0" quotePrefix="0" xfId="0">
      <alignment horizontal="center" vertical="center"/>
    </xf>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is>
          <t>Cedric (cedric.axa1@gmail.com)</t>
        </is>
      </c>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is>
          <t>Cedric (cedric.axa1@gmail.com)</t>
        </is>
      </c>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is>
          <t>Cedric (cedric.axa1@gmail.com)</t>
        </is>
      </c>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is>
          <t>Cedric (cedric.axa1@gmail.com)</t>
        </is>
      </c>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is>
          <t>Cedric (cedric.axa1@gmail.com)</t>
        </is>
      </c>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is>
          <t>Cedric (cedric.axa1@gmail.com)</t>
        </is>
      </c>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Cedric (cedric.axa1@gmail.com)</t>
        </is>
      </c>
      <c r="B22" s="47">
        <f>COUNTIF('Recruit Monitoring Tracker'!E9:E65, "*Cedric (cedric.axa1@gmail.com)*")</f>
        <v/>
      </c>
      <c r="C22" s="65">
        <f>COUNTIFS('Recruit Monitoring Tracker'!E9:E65, "*Cedric (cedric.axa1@gmail.com)*", 'Recruit Monitoring Tracker'!H9:H65, "Yes")</f>
        <v/>
      </c>
      <c r="D22" s="38">
        <f>IFERROR(C22/B22, 0)</f>
        <v/>
      </c>
      <c r="E22" s="65">
        <f>COUNTIFS('Recruit Monitoring Tracker'!E9:E65, "*Cedric (cedric.axa1@gmail.com)*", 'Recruit Monitoring Tracker'!L9:L65, "Yes")</f>
        <v/>
      </c>
      <c r="F22" s="38">
        <f>IFERROR(E22/C22, 0)</f>
        <v/>
      </c>
      <c r="G22" s="47">
        <f>COUNTIFS('Recruit Monitoring Tracker'!E9:E65, "*Cedric (cedric.axa1@gmail.com)*", 'Recruit Monitoring Tracker'!P9:P65, "*Ready for Exam*")</f>
        <v/>
      </c>
    </row>
    <row r="23" ht="20" customHeight="1">
      <c r="A23" s="50" t="inlineStr">
        <is>
          <t>Sarah Jenkins (UM)</t>
        </is>
      </c>
      <c r="B23" s="51">
        <f>COUNTIF('Recruit Monitoring Tracker'!E9:E65, "*Sarah Jenkins (UM)*")</f>
        <v/>
      </c>
      <c r="C23" s="66">
        <f>COUNTIFS('Recruit Monitoring Tracker'!E9:E65, "*Sarah Jenkins (UM)*", 'Recruit Monitoring Tracker'!H9:H65, "Yes")</f>
        <v/>
      </c>
      <c r="D23" s="42">
        <f>IFERROR(C23/B23, 0)</f>
        <v/>
      </c>
      <c r="E23" s="66">
        <f>COUNTIFS('Recruit Monitoring Tracker'!E9:E65, "*Sarah Jenkins (UM)*", 'Recruit Monitoring Tracker'!L9:L65, "Yes")</f>
        <v/>
      </c>
      <c r="F23" s="42">
        <f>IFERROR(E23/C23, 0)</f>
        <v/>
      </c>
      <c r="G23" s="51">
        <f>COUNTIFS('Recruit Monitoring Tracker'!E9:E65, "*Sarah Jenkins (UM)*", 'Recruit Monitoring Tracker'!P9:P65, "*Ready for Exam*")</f>
        <v/>
      </c>
    </row>
    <row r="24" ht="20" customHeight="1">
      <c r="A24" s="46" t="inlineStr">
        <is>
          <t>David Tan</t>
        </is>
      </c>
      <c r="B24" s="47">
        <f>COUNTIF('Recruit Monitoring Tracker'!E9:E65, "*David Tan*")</f>
        <v/>
      </c>
      <c r="C24" s="65">
        <f>COUNTIFS('Recruit Monitoring Tracker'!E9:E65, "*David Tan*", 'Recruit Monitoring Tracker'!H9:H65, "Yes")</f>
        <v/>
      </c>
      <c r="D24" s="38">
        <f>IFERROR(C24/B24, 0)</f>
        <v/>
      </c>
      <c r="E24" s="65">
        <f>COUNTIFS('Recruit Monitoring Tracker'!E9:E65, "*David Tan*", 'Recruit Monitoring Tracker'!L9:L65, "Yes")</f>
        <v/>
      </c>
      <c r="F24" s="38">
        <f>IFERROR(E24/C24, 0)</f>
        <v/>
      </c>
      <c r="G24" s="47">
        <f>COUNTIFS('Recruit Monitoring Tracker'!E9:E65, "*David Tan*", 'Recruit Monitoring Tracker'!P9:P65, "*Ready for Exam*")</f>
        <v/>
      </c>
    </row>
    <row r="25" ht="20" customHeight="1">
      <c r="A25" s="50" t="inlineStr">
        <is>
          <t>Elena Gomez</t>
        </is>
      </c>
      <c r="B25" s="51">
        <f>COUNTIF('Recruit Monitoring Tracker'!E9:E65, "*Elena Gomez*")</f>
        <v/>
      </c>
      <c r="C25" s="66">
        <f>COUNTIFS('Recruit Monitoring Tracker'!E9:E65, "*Elena Gomez*", 'Recruit Monitoring Tracker'!H9:H65, "Yes")</f>
        <v/>
      </c>
      <c r="D25" s="42">
        <f>IFERROR(C25/B25, 0)</f>
        <v/>
      </c>
      <c r="E25" s="66">
        <f>COUNTIFS('Recruit Monitoring Tracker'!E9:E65, "*Elena Gomez*", 'Recruit Monitoring Tracker'!L9:L65, "Yes")</f>
        <v/>
      </c>
      <c r="F25" s="42">
        <f>IFERROR(E25/C25, 0)</f>
        <v/>
      </c>
      <c r="G25" s="51">
        <f>COUNTIFS('Recruit Monitoring Tracker'!E9:E65, "*Elena Gomez*",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Cedric (cedric.axa1@gmail.com)</t>
        </is>
      </c>
      <c r="H6" s="71" t="inlineStr">
        <is>
          <t>Agency Leader / Recruiter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Sarah Jenkins (UM)</t>
        </is>
      </c>
      <c r="H7" s="71" t="inlineStr">
        <is>
          <t>Unit Manager / Agency Leader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David Tan</t>
        </is>
      </c>
      <c r="H8" s="71" t="inlineStr">
        <is>
          <t>Senior Financial Advisor / Recruiter</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Elena Gomez</t>
        </is>
      </c>
      <c r="H9" s="71" t="inlineStr">
        <is>
          <t>Agency Recruitment Specialist</t>
        </is>
      </c>
    </row>
    <row r="10">
      <c r="G10" s="70" t="inlineStr">
        <is>
          <t>Michael Chang</t>
        </is>
      </c>
      <c r="H10"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G27"/>
  <sheetViews>
    <sheetView showGridLines="1" workbookViewId="0">
      <selection activeCell="A1" sqref="A1"/>
    </sheetView>
  </sheetViews>
  <sheetFormatPr baseColWidth="8" defaultRowHeight="15"/>
  <cols>
    <col width="20" customWidth="1" min="1" max="1"/>
    <col width="16" customWidth="1" min="2" max="2"/>
    <col width="16" customWidth="1" min="3" max="3"/>
    <col width="18" customWidth="1" min="4" max="4"/>
    <col width="14" customWidth="1" min="5" max="5"/>
    <col width="14" customWidth="1" min="6" max="6"/>
    <col width="14" customWidth="1" min="7" max="7"/>
  </cols>
  <sheetData>
    <row r="1" ht="30" customHeight="1">
      <c r="A1" s="79" t="inlineStr">
        <is>
          <t>AGENCY DISCOVERY DAY (ADD) — REGISTRATION FORM</t>
        </is>
      </c>
    </row>
    <row r="2" ht="18" customHeight="1">
      <c r="A2" s="80" t="inlineStr">
        <is>
          <t>Candidate Career Orientation Intake Slip | Pre-Licensing Recruitment Pipeline</t>
        </is>
      </c>
    </row>
    <row r="3" ht="8" customHeight="1"/>
    <row r="4" ht="20" customHeight="1">
      <c r="A4" s="75" t="inlineStr">
        <is>
          <t>1. CANDIDATE PERSONAL INFORMATION</t>
        </is>
      </c>
    </row>
    <row r="5" ht="22" customHeight="1">
      <c r="A5" s="81" t="inlineStr">
        <is>
          <t>Complete Name:</t>
        </is>
      </c>
      <c r="B5" s="82" t="inlineStr">
        <is>
          <t>Last Name, First Name M.I.</t>
        </is>
      </c>
    </row>
    <row r="6" ht="22" customHeight="1">
      <c r="A6" s="81" t="inlineStr">
        <is>
          <t>Mobile Number:</t>
        </is>
      </c>
      <c r="B6" s="82" t="inlineStr">
        <is>
          <t>+63 9XX XXX XXXX</t>
        </is>
      </c>
      <c r="D6" s="81" t="inlineStr">
        <is>
          <t>Email Address:</t>
        </is>
      </c>
      <c r="E6" s="82" t="inlineStr">
        <is>
          <t>candidate@email.com</t>
        </is>
      </c>
    </row>
    <row r="7" ht="22" customHeight="1">
      <c r="A7" s="81" t="inlineStr">
        <is>
          <t>Date of Birth:</t>
        </is>
      </c>
      <c r="B7" s="82" t="inlineStr">
        <is>
          <t>YYYY-MM-DD</t>
        </is>
      </c>
      <c r="D7" s="81" t="inlineStr">
        <is>
          <t>Civil Status:</t>
        </is>
      </c>
      <c r="E7" s="83" t="inlineStr">
        <is>
          <t>[ ] Single   [ ] Married   [ ] Other</t>
        </is>
      </c>
    </row>
    <row r="8" ht="22" customHeight="1">
      <c r="A8" s="81" t="inlineStr">
        <is>
          <t>City / Address:</t>
        </is>
      </c>
      <c r="B8" s="82" t="inlineStr">
        <is>
          <t>City, Province</t>
        </is>
      </c>
    </row>
    <row r="9" ht="6" customHeight="1"/>
    <row r="10" ht="20" customHeight="1">
      <c r="A10" s="75" t="inlineStr">
        <is>
          <t>2. BACKGROUND &amp; CURRENT OCCUPATION</t>
        </is>
      </c>
    </row>
    <row r="11" ht="22" customHeight="1">
      <c r="A11" s="81" t="inlineStr">
        <is>
          <t>Current Field:</t>
        </is>
      </c>
      <c r="B11" s="83" t="inlineStr">
        <is>
          <t>[ ] Employed   [ ] Business   [ ] Freelance</t>
        </is>
      </c>
      <c r="D11" s="81" t="inlineStr">
        <is>
          <t>Current Company / Role:</t>
        </is>
      </c>
      <c r="E11" s="82" t="inlineStr">
        <is>
          <t>Job Title / Employer</t>
        </is>
      </c>
    </row>
    <row r="12" ht="22" customHeight="1">
      <c r="A12" s="81" t="inlineStr">
        <is>
          <t>Education:</t>
        </is>
      </c>
      <c r="B12" s="82" t="inlineStr">
        <is>
          <t>College Degree / Course</t>
        </is>
      </c>
      <c r="D12" s="81" t="inlineStr">
        <is>
          <t>Work Experience:</t>
        </is>
      </c>
      <c r="E12" s="83" t="inlineStr">
        <is>
          <t>[ ] &lt;1 yr   [ ] 1-3 yrs   [ ] 3-5 yrs   [ ] 5+ yrs</t>
        </is>
      </c>
    </row>
    <row r="13" ht="6" customHeight="1"/>
    <row r="14" ht="20" customHeight="1">
      <c r="A14" s="75" t="inlineStr">
        <is>
          <t>3. SOURCING &amp; ADD ORIENTATION SCHEDULE</t>
        </is>
      </c>
    </row>
    <row r="15" ht="22" customHeight="1">
      <c r="A15" s="81" t="inlineStr">
        <is>
          <t>Invited By (Recruiter):</t>
        </is>
      </c>
      <c r="B15" s="82" t="inlineStr">
        <is>
          <t>Cedric (cedric.axa1@gmail.com)</t>
        </is>
      </c>
      <c r="D15" s="81" t="inlineStr">
        <is>
          <t>Date Invited / Sourced:</t>
        </is>
      </c>
      <c r="E15" s="83" t="inlineStr">
        <is>
          <t>2026-09-15</t>
        </is>
      </c>
    </row>
    <row r="16" ht="22" customHeight="1">
      <c r="A16" s="81" t="inlineStr">
        <is>
          <t>ADD Session (Thursdays 7 PM):</t>
        </is>
      </c>
      <c r="B16" s="83" t="inlineStr">
        <is>
          <t>[X] Thursday, Sept 17 (7 PM)   [ ] Thursday, Sept 24 (7 PM)   [ ] Future Thursday</t>
        </is>
      </c>
      <c r="D16" s="81" t="inlineStr">
        <is>
          <t>Orientation Mode:</t>
        </is>
      </c>
      <c r="E16" s="83" t="inlineStr">
        <is>
          <t>[ ] Online via Zoom   [ ] Branch / In-Person</t>
        </is>
      </c>
    </row>
    <row r="17" ht="6" customHeight="1"/>
    <row r="18" ht="20" customHeight="1">
      <c r="A18" s="75" t="inlineStr">
        <is>
          <t>4. MOTIVATION &amp; CAREER OBJECTIVES</t>
        </is>
      </c>
    </row>
    <row r="19" ht="22" customHeight="1">
      <c r="A19" s="81" t="inlineStr">
        <is>
          <t>Primary Motivation:</t>
        </is>
      </c>
      <c r="B19" s="83" t="inlineStr">
        <is>
          <t>[ ] Unlimited Income Potential   [ ] Flexible Time   [ ] Work from Home   [ ] Helping Others</t>
        </is>
      </c>
    </row>
    <row r="20" ht="22" customHeight="1">
      <c r="A20" s="81" t="inlineStr">
        <is>
          <t>Career Mode:</t>
        </is>
      </c>
      <c r="B20" s="83" t="inlineStr">
        <is>
          <t>[ ] Full-Time Financial Advisor     [ ] Part-Time Financial Advisor     [ ] Exploring / Open-Minded</t>
        </is>
      </c>
    </row>
    <row r="21" ht="6" customHeight="1"/>
    <row r="22" ht="20" customHeight="1">
      <c r="A22" s="75" t="inlineStr">
        <is>
          <t>5. CONFIRMATION &amp; OFFICE USE ONLY</t>
        </is>
      </c>
    </row>
    <row r="23" ht="24" customHeight="1">
      <c r="A23" s="81" t="inlineStr">
        <is>
          <t>Candidate Signature:</t>
        </is>
      </c>
      <c r="B23" s="84" t="inlineStr">
        <is>
          <t>____________________________</t>
        </is>
      </c>
      <c r="D23" s="81" t="inlineStr">
        <is>
          <t>Date Signed:</t>
        </is>
      </c>
      <c r="E23" s="84" t="inlineStr">
        <is>
          <t>____________________________</t>
        </is>
      </c>
    </row>
    <row r="24" ht="20" customHeight="1">
      <c r="A24" s="85" t="inlineStr">
        <is>
          <t>--- FOR AGENCY / UNIT MANAGER USE ONLY ---</t>
        </is>
      </c>
      <c r="B24" s="86" t="n"/>
      <c r="C24" s="86" t="n"/>
      <c r="D24" s="86" t="n"/>
      <c r="E24" s="86" t="n"/>
      <c r="F24" s="86" t="n"/>
      <c r="G24" s="87" t="n"/>
    </row>
    <row r="25" ht="20" customHeight="1">
      <c r="A25" s="88" t="inlineStr">
        <is>
          <t>Assigned Recruit ID:</t>
        </is>
      </c>
      <c r="B25" s="89" t="inlineStr">
        <is>
          <t>REC-_____</t>
        </is>
      </c>
      <c r="C25" s="87" t="n"/>
      <c r="D25" s="88" t="inlineStr">
        <is>
          <t>ADD Attendance:</t>
        </is>
      </c>
      <c r="E25" s="89" t="inlineStr">
        <is>
          <t>[ ] Attended (Date: ________)   [ ] Rescheduled</t>
        </is>
      </c>
      <c r="F25" s="86" t="n"/>
      <c r="G25" s="87" t="n"/>
    </row>
    <row r="26" ht="20" customHeight="1">
      <c r="A26" s="88" t="inlineStr">
        <is>
          <t>LMS Endorsement:</t>
        </is>
      </c>
      <c r="B26" s="89" t="inlineStr">
        <is>
          <t>[ ] Approved for LMS Modules</t>
        </is>
      </c>
      <c r="C26" s="87" t="n"/>
      <c r="D26" s="88" t="inlineStr">
        <is>
          <t>LMS Setup Date:</t>
        </is>
      </c>
      <c r="E26" s="89" t="inlineStr">
        <is>
          <t>Credentials Sent Date: ________</t>
        </is>
      </c>
      <c r="F26" s="86" t="n"/>
      <c r="G26" s="87" t="n"/>
    </row>
    <row r="27" ht="20" customHeight="1">
      <c r="A27" s="88" t="inlineStr">
        <is>
          <t>UM / Recruiter Sign:</t>
        </is>
      </c>
      <c r="B27" s="89" t="inlineStr">
        <is>
          <t>_______________________</t>
        </is>
      </c>
      <c r="C27" s="87" t="n"/>
      <c r="D27" s="88" t="inlineStr">
        <is>
          <t>Overall Status:</t>
        </is>
      </c>
      <c r="E27" s="89" t="inlineStr">
        <is>
          <t>[ ] Active In Pipeline   [ ] Ready for Exam</t>
        </is>
      </c>
      <c r="F27" s="86" t="n"/>
      <c r="G27" s="87" t="n"/>
    </row>
  </sheetData>
  <mergeCells count="32">
    <mergeCell ref="A14:G14"/>
    <mergeCell ref="B16:C16"/>
    <mergeCell ref="B7:C7"/>
    <mergeCell ref="B25:C25"/>
    <mergeCell ref="A22:G22"/>
    <mergeCell ref="A4:G4"/>
    <mergeCell ref="B8:G8"/>
    <mergeCell ref="B27:C27"/>
    <mergeCell ref="E15:G15"/>
    <mergeCell ref="A10:G10"/>
    <mergeCell ref="E6:G6"/>
    <mergeCell ref="B12:C12"/>
    <mergeCell ref="B19:G19"/>
    <mergeCell ref="E11:G11"/>
    <mergeCell ref="B11:C11"/>
    <mergeCell ref="E27:G27"/>
    <mergeCell ref="B23:C23"/>
    <mergeCell ref="A24:G24"/>
    <mergeCell ref="E26:G26"/>
    <mergeCell ref="E7:G7"/>
    <mergeCell ref="E25:G25"/>
    <mergeCell ref="E16:G16"/>
    <mergeCell ref="B20:G20"/>
    <mergeCell ref="A1:G1"/>
    <mergeCell ref="B5:G5"/>
    <mergeCell ref="E12:G12"/>
    <mergeCell ref="B6:C6"/>
    <mergeCell ref="B15:C15"/>
    <mergeCell ref="A18:G18"/>
    <mergeCell ref="E23:G23"/>
    <mergeCell ref="A2:G2"/>
    <mergeCell ref="B26:C26"/>
  </mergeCells>
  <pageMargins left="0.75" right="0.75" top="1" bottom="1" header="0.5" footer="0.5"/>
  <pageSetup orientation="portrait" paperSize="1" fitToHeight="1" fitToWidth="1"/>
</worksheet>
</file>

<file path=xl/worksheets/sheet6.xml><?xml version="1.0" encoding="utf-8"?>
<worksheet xmlns="http://schemas.openxmlformats.org/spreadsheetml/2006/main">
  <sheetPr>
    <outlinePr summaryBelow="1" summaryRight="1"/>
    <pageSetUpPr/>
  </sheetPr>
  <dimension ref="A1:N3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6" customWidth="1" min="3" max="3"/>
    <col width="18" customWidth="1" min="4" max="4"/>
    <col width="20" customWidth="1" min="5" max="5"/>
    <col width="18" customWidth="1" min="6" max="6"/>
    <col width="22" customWidth="1" min="7" max="7"/>
    <col width="14" customWidth="1" min="8" max="8"/>
    <col width="14" customWidth="1" min="9" max="9"/>
    <col width="16" customWidth="1" min="10" max="10"/>
    <col width="14" customWidth="1" min="11" max="11"/>
    <col width="15" customWidth="1" min="12" max="12"/>
    <col width="15" customWidth="1" min="13" max="13"/>
    <col width="30" customWidth="1" min="14" max="14"/>
  </cols>
  <sheetData>
    <row r="1" ht="34" customHeight="1">
      <c r="A1" s="1" t="inlineStr">
        <is>
          <t>AGENCY RECRUITER DIRECTORY &amp; IDENTIFICATION ROSTER</t>
        </is>
      </c>
    </row>
    <row r="2" ht="20" customHeight="1">
      <c r="A2" s="90" t="inlineStr">
        <is>
          <t>Official Recruiter IDs, Agent Codes, Contact Details, License Credentials &amp; Performance Metrics</t>
        </is>
      </c>
    </row>
    <row r="3" ht="8" customHeight="1"/>
    <row r="4" ht="16" customHeight="1">
      <c r="B4" s="3" t="inlineStr">
        <is>
          <t>TOTAL RECRUITERS</t>
        </is>
      </c>
      <c r="C4" s="4" t="n"/>
      <c r="D4" s="4" t="n"/>
      <c r="E4" s="9" t="inlineStr">
        <is>
          <t>ACTIVE STATUS</t>
        </is>
      </c>
      <c r="F4" s="10" t="n"/>
      <c r="G4" s="10" t="n"/>
      <c r="H4" s="7" t="inlineStr">
        <is>
          <t>TOTAL SOURCED</t>
        </is>
      </c>
      <c r="I4" s="8" t="n"/>
      <c r="J4" s="8" t="n"/>
      <c r="K4" s="5" t="inlineStr">
        <is>
          <t>ADD ATTENDED</t>
        </is>
      </c>
      <c r="L4" s="6" t="n"/>
      <c r="M4" s="6" t="n"/>
    </row>
    <row r="5" ht="26" customHeight="1">
      <c r="B5" s="91">
        <f>COUNTA(A9:A35)</f>
        <v/>
      </c>
      <c r="C5" s="4" t="n"/>
      <c r="D5" s="4" t="n"/>
      <c r="E5" s="92">
        <f>COUNTIF(H9:H35, "Active")</f>
        <v/>
      </c>
      <c r="F5" s="10" t="n"/>
      <c r="G5" s="10" t="n"/>
      <c r="H5" s="93">
        <f>SUM(J9:J35)</f>
        <v/>
      </c>
      <c r="I5" s="8" t="n"/>
      <c r="J5" s="8" t="n"/>
      <c r="K5" s="94">
        <f>SUM(K9:K35)</f>
        <v/>
      </c>
      <c r="L5" s="6" t="n"/>
      <c r="M5" s="6" t="n"/>
    </row>
    <row r="6" ht="16" customHeight="1">
      <c r="B6" s="18" t="inlineStr">
        <is>
          <t>Authorized agency recruiters</t>
        </is>
      </c>
      <c r="C6" s="4" t="n"/>
      <c r="D6" s="4" t="n"/>
      <c r="E6" s="21" t="inlineStr">
        <is>
          <t>Currently sourcing talent</t>
        </is>
      </c>
      <c r="F6" s="10" t="n"/>
      <c r="G6" s="10" t="n"/>
      <c r="H6" s="20" t="inlineStr">
        <is>
          <t>Total candidates invited</t>
        </is>
      </c>
      <c r="I6" s="8" t="n"/>
      <c r="J6" s="8" t="n"/>
      <c r="K6" s="19" t="inlineStr">
        <is>
          <t>Candidates attended ADD</t>
        </is>
      </c>
      <c r="L6" s="6" t="n"/>
      <c r="M6" s="6" t="n"/>
    </row>
    <row r="7" ht="8" customHeight="1"/>
    <row r="8" ht="28" customHeight="1">
      <c r="A8" s="95" t="inlineStr">
        <is>
          <t>Recruiter ID / Code</t>
        </is>
      </c>
      <c r="B8" s="96" t="inlineStr">
        <is>
          <t>Recruiter Full Name</t>
        </is>
      </c>
      <c r="C8" s="96" t="inlineStr">
        <is>
          <t>Email Address</t>
        </is>
      </c>
      <c r="D8" s="95" t="inlineStr">
        <is>
          <t>Contact Number</t>
        </is>
      </c>
      <c r="E8" s="96" t="inlineStr">
        <is>
          <t>Agency Unit / Team</t>
        </is>
      </c>
      <c r="F8" s="95" t="inlineStr">
        <is>
          <t>License / IC Code</t>
        </is>
      </c>
      <c r="G8" s="96" t="inlineStr">
        <is>
          <t>Gov ID / Verification</t>
        </is>
      </c>
      <c r="H8" s="95" t="inlineStr">
        <is>
          <t>Status</t>
        </is>
      </c>
      <c r="I8" s="95" t="inlineStr">
        <is>
          <t>Date Added</t>
        </is>
      </c>
      <c r="J8" s="95" t="inlineStr">
        <is>
          <t>Recruits Sourced</t>
        </is>
      </c>
      <c r="K8" s="95" t="inlineStr">
        <is>
          <t>Attended ADD</t>
        </is>
      </c>
      <c r="L8" s="95" t="inlineStr">
        <is>
          <t>LMS In Progress</t>
        </is>
      </c>
      <c r="M8" s="95" t="inlineStr">
        <is>
          <t>LMS Completed</t>
        </is>
      </c>
      <c r="N8" s="96" t="inlineStr">
        <is>
          <t>ID File Reference / Upload Status</t>
        </is>
      </c>
    </row>
    <row r="9" ht="22" customHeight="1">
      <c r="A9" s="97" t="inlineStr">
        <is>
          <t>AGT-001</t>
        </is>
      </c>
      <c r="B9" s="98" t="inlineStr">
        <is>
          <t>Cedric</t>
        </is>
      </c>
      <c r="C9" s="99" t="inlineStr">
        <is>
          <t>cedric.axa1@gmail.com</t>
        </is>
      </c>
      <c r="D9" s="100" t="inlineStr">
        <is>
          <t>0917 888 9999</t>
        </is>
      </c>
      <c r="E9" s="99" t="inlineStr">
        <is>
          <t>Executive Agency Unit</t>
        </is>
      </c>
      <c r="F9" s="100" t="inlineStr">
        <is>
          <t>LIC-2024-001</t>
        </is>
      </c>
      <c r="G9" s="99" t="inlineStr">
        <is>
          <t>PRC Professional License</t>
        </is>
      </c>
      <c r="H9" s="100" t="inlineStr">
        <is>
          <t>Active</t>
        </is>
      </c>
      <c r="I9" s="100" t="inlineStr">
        <is>
          <t>2024-01-15</t>
        </is>
      </c>
      <c r="J9" s="101">
        <f>COUNTIF('Recruit Monitoring Tracker'!$E$9:$E$65, "*Cedric*")</f>
        <v/>
      </c>
      <c r="K9" s="101">
        <f>COUNTIFS('Recruit Monitoring Tracker'!$E$9:$E$65, "*Cedric*", 'Recruit Monitoring Tracker'!$H$9:$H$65, "Yes")</f>
        <v/>
      </c>
      <c r="L9" s="102">
        <f>COUNTIFS('Recruit Monitoring Tracker'!$E$9:$E$65, "*Cedric*", 'Recruit Monitoring Tracker'!$L$9:$L$65, "In Progress")</f>
        <v/>
      </c>
      <c r="M9" s="102">
        <f>COUNTIFS('Recruit Monitoring Tracker'!$E$9:$E$65, "*Cedric*", 'Recruit Monitoring Tracker'!$L$9:$L$65, "Yes")</f>
        <v/>
      </c>
      <c r="N9" s="99" t="inlineStr">
        <is>
          <t>Verified / Primary Recruiter</t>
        </is>
      </c>
    </row>
    <row r="10" ht="22" customHeight="1">
      <c r="A10" s="103" t="inlineStr">
        <is>
          <t>AGT-002</t>
        </is>
      </c>
      <c r="B10" s="104" t="inlineStr">
        <is>
          <t>Sarah Jenkins (UM)</t>
        </is>
      </c>
      <c r="C10" s="105" t="inlineStr">
        <is>
          <t>sarah.jenkins@agency.com</t>
        </is>
      </c>
      <c r="D10" s="106" t="inlineStr">
        <is>
          <t>0918 222 3333</t>
        </is>
      </c>
      <c r="E10" s="105" t="inlineStr">
        <is>
          <t>Alpha Leaders Unit</t>
        </is>
      </c>
      <c r="F10" s="106" t="inlineStr">
        <is>
          <t>LIC-2023-088</t>
        </is>
      </c>
      <c r="G10" s="105" t="inlineStr">
        <is>
          <t>Unified Multi-Purpose ID</t>
        </is>
      </c>
      <c r="H10" s="106" t="inlineStr">
        <is>
          <t>Active</t>
        </is>
      </c>
      <c r="I10" s="106" t="inlineStr">
        <is>
          <t>2023-06-01</t>
        </is>
      </c>
      <c r="J10" s="107">
        <f>COUNTIF('Recruit Monitoring Tracker'!$E$9:$E$65, "*Sarah Jenkins (UM)*")</f>
        <v/>
      </c>
      <c r="K10" s="107">
        <f>COUNTIFS('Recruit Monitoring Tracker'!$E$9:$E$65, "*Sarah Jenkins (UM)*", 'Recruit Monitoring Tracker'!$H$9:$H$65, "Yes")</f>
        <v/>
      </c>
      <c r="L10" s="108">
        <f>COUNTIFS('Recruit Monitoring Tracker'!$E$9:$E$65, "*Sarah Jenkins (UM)*", 'Recruit Monitoring Tracker'!$L$9:$L$65, "In Progress")</f>
        <v/>
      </c>
      <c r="M10" s="108">
        <f>COUNTIFS('Recruit Monitoring Tracker'!$E$9:$E$65, "*Sarah Jenkins (UM)*", 'Recruit Monitoring Tracker'!$L$9:$L$65, "Yes")</f>
        <v/>
      </c>
      <c r="N10" s="105" t="inlineStr">
        <is>
          <t>Verified / Unit Manager</t>
        </is>
      </c>
    </row>
    <row r="11" ht="22" customHeight="1">
      <c r="A11" s="97" t="inlineStr">
        <is>
          <t>AGT-003</t>
        </is>
      </c>
      <c r="B11" s="98" t="inlineStr">
        <is>
          <t>David Tan</t>
        </is>
      </c>
      <c r="C11" s="99" t="inlineStr">
        <is>
          <t>david.tan@agency.com</t>
        </is>
      </c>
      <c r="D11" s="100" t="inlineStr">
        <is>
          <t>0919 444 5555</t>
        </is>
      </c>
      <c r="E11" s="99" t="inlineStr">
        <is>
          <t>Apex Financial Team</t>
        </is>
      </c>
      <c r="F11" s="100" t="inlineStr">
        <is>
          <t>LIC-2024-112</t>
        </is>
      </c>
      <c r="G11" s="99" t="inlineStr">
        <is>
          <t>Passport / Driver's License</t>
        </is>
      </c>
      <c r="H11" s="100" t="inlineStr">
        <is>
          <t>Active</t>
        </is>
      </c>
      <c r="I11" s="100" t="inlineStr">
        <is>
          <t>2024-02-10</t>
        </is>
      </c>
      <c r="J11" s="101">
        <f>COUNTIF('Recruit Monitoring Tracker'!$E$9:$E$65, "*David Tan*")</f>
        <v/>
      </c>
      <c r="K11" s="101">
        <f>COUNTIFS('Recruit Monitoring Tracker'!$E$9:$E$65, "*David Tan*", 'Recruit Monitoring Tracker'!$H$9:$H$65, "Yes")</f>
        <v/>
      </c>
      <c r="L11" s="102">
        <f>COUNTIFS('Recruit Monitoring Tracker'!$E$9:$E$65, "*David Tan*", 'Recruit Monitoring Tracker'!$L$9:$L$65, "In Progress")</f>
        <v/>
      </c>
      <c r="M11" s="102">
        <f>COUNTIFS('Recruit Monitoring Tracker'!$E$9:$E$65, "*David Tan*", 'Recruit Monitoring Tracker'!$L$9:$L$65, "Yes")</f>
        <v/>
      </c>
      <c r="N11" s="99" t="inlineStr">
        <is>
          <t>Verified / Agency Leader</t>
        </is>
      </c>
    </row>
    <row r="12" ht="22" customHeight="1">
      <c r="A12" s="103" t="inlineStr">
        <is>
          <t>AGT-004</t>
        </is>
      </c>
      <c r="B12" s="104" t="inlineStr">
        <is>
          <t>Elena Gomez</t>
        </is>
      </c>
      <c r="C12" s="105" t="inlineStr">
        <is>
          <t>elena.gomez@agency.com</t>
        </is>
      </c>
      <c r="D12" s="106" t="inlineStr">
        <is>
          <t>0920 666 7777</t>
        </is>
      </c>
      <c r="E12" s="105" t="inlineStr">
        <is>
          <t>Summit Advisors Unit</t>
        </is>
      </c>
      <c r="F12" s="106" t="inlineStr">
        <is>
          <t>LIC-2024-190</t>
        </is>
      </c>
      <c r="G12" s="105" t="inlineStr">
        <is>
          <t>PRC License ID</t>
        </is>
      </c>
      <c r="H12" s="106" t="inlineStr">
        <is>
          <t>Active</t>
        </is>
      </c>
      <c r="I12" s="106" t="inlineStr">
        <is>
          <t>2024-03-01</t>
        </is>
      </c>
      <c r="J12" s="107">
        <f>COUNTIF('Recruit Monitoring Tracker'!$E$9:$E$65, "*Elena Gomez*")</f>
        <v/>
      </c>
      <c r="K12" s="107">
        <f>COUNTIFS('Recruit Monitoring Tracker'!$E$9:$E$65, "*Elena Gomez*", 'Recruit Monitoring Tracker'!$H$9:$H$65, "Yes")</f>
        <v/>
      </c>
      <c r="L12" s="108">
        <f>COUNTIFS('Recruit Monitoring Tracker'!$E$9:$E$65, "*Elena Gomez*", 'Recruit Monitoring Tracker'!$L$9:$L$65, "In Progress")</f>
        <v/>
      </c>
      <c r="M12" s="108">
        <f>COUNTIFS('Recruit Monitoring Tracker'!$E$9:$E$65, "*Elena Gomez*", 'Recruit Monitoring Tracker'!$L$9:$L$65, "Yes")</f>
        <v/>
      </c>
      <c r="N12" s="105" t="inlineStr">
        <is>
          <t>Verified / Unit Leader</t>
        </is>
      </c>
    </row>
    <row r="13" ht="20" customHeight="1">
      <c r="A13" s="97" t="inlineStr">
        <is>
          <t>AGT-005</t>
        </is>
      </c>
      <c r="B13" s="98" t="inlineStr"/>
      <c r="C13" s="99" t="inlineStr"/>
      <c r="D13" s="100" t="inlineStr"/>
      <c r="E13" s="99" t="inlineStr"/>
      <c r="F13" s="100" t="inlineStr"/>
      <c r="G13" s="99" t="inlineStr"/>
      <c r="H13" s="100" t="inlineStr">
        <is>
          <t>Active</t>
        </is>
      </c>
      <c r="I13" s="100" t="inlineStr"/>
      <c r="J13" s="101">
        <f>IF(B13="","",COUNTIF('Recruit Monitoring Tracker'!$E$9:$E$65, "*"&amp;B13&amp;"*"))</f>
        <v/>
      </c>
      <c r="K13" s="101">
        <f>IF(B13="","",COUNTIFS('Recruit Monitoring Tracker'!$E$9:$E$65, "*"&amp;B13&amp;"*", 'Recruit Monitoring Tracker'!$H$9:$H$65, "Yes"))</f>
        <v/>
      </c>
      <c r="L13" s="102">
        <f>IF(B13="","",COUNTIFS('Recruit Monitoring Tracker'!$E$9:$E$65, "*"&amp;B13&amp;"*", 'Recruit Monitoring Tracker'!$L$9:$L$65, "In Progress"))</f>
        <v/>
      </c>
      <c r="M13" s="102">
        <f>IF(B13="","",COUNTIFS('Recruit Monitoring Tracker'!$E$9:$E$65, "*"&amp;B13&amp;"*", 'Recruit Monitoring Tracker'!$L$9:$L$65, "Yes"))</f>
        <v/>
      </c>
      <c r="N13" s="99" t="inlineStr"/>
    </row>
    <row r="14" ht="20" customHeight="1">
      <c r="A14" s="103" t="inlineStr">
        <is>
          <t>AGT-006</t>
        </is>
      </c>
      <c r="B14" s="104" t="inlineStr"/>
      <c r="C14" s="105" t="inlineStr"/>
      <c r="D14" s="106" t="inlineStr"/>
      <c r="E14" s="105" t="inlineStr"/>
      <c r="F14" s="106" t="inlineStr"/>
      <c r="G14" s="105" t="inlineStr"/>
      <c r="H14" s="106" t="inlineStr">
        <is>
          <t>Active</t>
        </is>
      </c>
      <c r="I14" s="106" t="inlineStr"/>
      <c r="J14" s="107">
        <f>IF(B14="","",COUNTIF('Recruit Monitoring Tracker'!$E$9:$E$65, "*"&amp;B14&amp;"*"))</f>
        <v/>
      </c>
      <c r="K14" s="107">
        <f>IF(B14="","",COUNTIFS('Recruit Monitoring Tracker'!$E$9:$E$65, "*"&amp;B14&amp;"*", 'Recruit Monitoring Tracker'!$H$9:$H$65, "Yes"))</f>
        <v/>
      </c>
      <c r="L14" s="108">
        <f>IF(B14="","",COUNTIFS('Recruit Monitoring Tracker'!$E$9:$E$65, "*"&amp;B14&amp;"*", 'Recruit Monitoring Tracker'!$L$9:$L$65, "In Progress"))</f>
        <v/>
      </c>
      <c r="M14" s="108">
        <f>IF(B14="","",COUNTIFS('Recruit Monitoring Tracker'!$E$9:$E$65, "*"&amp;B14&amp;"*", 'Recruit Monitoring Tracker'!$L$9:$L$65, "Yes"))</f>
        <v/>
      </c>
      <c r="N14" s="105" t="inlineStr"/>
    </row>
    <row r="15" ht="20" customHeight="1">
      <c r="A15" s="97" t="inlineStr">
        <is>
          <t>AGT-007</t>
        </is>
      </c>
      <c r="B15" s="98" t="inlineStr"/>
      <c r="C15" s="99" t="inlineStr"/>
      <c r="D15" s="100" t="inlineStr"/>
      <c r="E15" s="99" t="inlineStr"/>
      <c r="F15" s="100" t="inlineStr"/>
      <c r="G15" s="99" t="inlineStr"/>
      <c r="H15" s="100" t="inlineStr">
        <is>
          <t>Active</t>
        </is>
      </c>
      <c r="I15" s="100" t="inlineStr"/>
      <c r="J15" s="101">
        <f>IF(B15="","",COUNTIF('Recruit Monitoring Tracker'!$E$9:$E$65, "*"&amp;B15&amp;"*"))</f>
        <v/>
      </c>
      <c r="K15" s="101">
        <f>IF(B15="","",COUNTIFS('Recruit Monitoring Tracker'!$E$9:$E$65, "*"&amp;B15&amp;"*", 'Recruit Monitoring Tracker'!$H$9:$H$65, "Yes"))</f>
        <v/>
      </c>
      <c r="L15" s="102">
        <f>IF(B15="","",COUNTIFS('Recruit Monitoring Tracker'!$E$9:$E$65, "*"&amp;B15&amp;"*", 'Recruit Monitoring Tracker'!$L$9:$L$65, "In Progress"))</f>
        <v/>
      </c>
      <c r="M15" s="102">
        <f>IF(B15="","",COUNTIFS('Recruit Monitoring Tracker'!$E$9:$E$65, "*"&amp;B15&amp;"*", 'Recruit Monitoring Tracker'!$L$9:$L$65, "Yes"))</f>
        <v/>
      </c>
      <c r="N15" s="99" t="inlineStr"/>
    </row>
    <row r="16" ht="20" customHeight="1">
      <c r="A16" s="103" t="inlineStr">
        <is>
          <t>AGT-008</t>
        </is>
      </c>
      <c r="B16" s="104" t="inlineStr"/>
      <c r="C16" s="105" t="inlineStr"/>
      <c r="D16" s="106" t="inlineStr"/>
      <c r="E16" s="105" t="inlineStr"/>
      <c r="F16" s="106" t="inlineStr"/>
      <c r="G16" s="105" t="inlineStr"/>
      <c r="H16" s="106" t="inlineStr">
        <is>
          <t>Active</t>
        </is>
      </c>
      <c r="I16" s="106" t="inlineStr"/>
      <c r="J16" s="107">
        <f>IF(B16="","",COUNTIF('Recruit Monitoring Tracker'!$E$9:$E$65, "*"&amp;B16&amp;"*"))</f>
        <v/>
      </c>
      <c r="K16" s="107">
        <f>IF(B16="","",COUNTIFS('Recruit Monitoring Tracker'!$E$9:$E$65, "*"&amp;B16&amp;"*", 'Recruit Monitoring Tracker'!$H$9:$H$65, "Yes"))</f>
        <v/>
      </c>
      <c r="L16" s="108">
        <f>IF(B16="","",COUNTIFS('Recruit Monitoring Tracker'!$E$9:$E$65, "*"&amp;B16&amp;"*", 'Recruit Monitoring Tracker'!$L$9:$L$65, "In Progress"))</f>
        <v/>
      </c>
      <c r="M16" s="108">
        <f>IF(B16="","",COUNTIFS('Recruit Monitoring Tracker'!$E$9:$E$65, "*"&amp;B16&amp;"*", 'Recruit Monitoring Tracker'!$L$9:$L$65, "Yes"))</f>
        <v/>
      </c>
      <c r="N16" s="105" t="inlineStr"/>
    </row>
    <row r="17" ht="20" customHeight="1">
      <c r="A17" s="97" t="inlineStr">
        <is>
          <t>AGT-009</t>
        </is>
      </c>
      <c r="B17" s="98" t="inlineStr"/>
      <c r="C17" s="99" t="inlineStr"/>
      <c r="D17" s="100" t="inlineStr"/>
      <c r="E17" s="99" t="inlineStr"/>
      <c r="F17" s="100" t="inlineStr"/>
      <c r="G17" s="99" t="inlineStr"/>
      <c r="H17" s="100" t="inlineStr">
        <is>
          <t>Active</t>
        </is>
      </c>
      <c r="I17" s="100" t="inlineStr"/>
      <c r="J17" s="101">
        <f>IF(B17="","",COUNTIF('Recruit Monitoring Tracker'!$E$9:$E$65, "*"&amp;B17&amp;"*"))</f>
        <v/>
      </c>
      <c r="K17" s="101">
        <f>IF(B17="","",COUNTIFS('Recruit Monitoring Tracker'!$E$9:$E$65, "*"&amp;B17&amp;"*", 'Recruit Monitoring Tracker'!$H$9:$H$65, "Yes"))</f>
        <v/>
      </c>
      <c r="L17" s="102">
        <f>IF(B17="","",COUNTIFS('Recruit Monitoring Tracker'!$E$9:$E$65, "*"&amp;B17&amp;"*", 'Recruit Monitoring Tracker'!$L$9:$L$65, "In Progress"))</f>
        <v/>
      </c>
      <c r="M17" s="102">
        <f>IF(B17="","",COUNTIFS('Recruit Monitoring Tracker'!$E$9:$E$65, "*"&amp;B17&amp;"*", 'Recruit Monitoring Tracker'!$L$9:$L$65, "Yes"))</f>
        <v/>
      </c>
      <c r="N17" s="99" t="inlineStr"/>
    </row>
    <row r="18" ht="20" customHeight="1">
      <c r="A18" s="103" t="inlineStr">
        <is>
          <t>AGT-010</t>
        </is>
      </c>
      <c r="B18" s="104" t="inlineStr"/>
      <c r="C18" s="105" t="inlineStr"/>
      <c r="D18" s="106" t="inlineStr"/>
      <c r="E18" s="105" t="inlineStr"/>
      <c r="F18" s="106" t="inlineStr"/>
      <c r="G18" s="105" t="inlineStr"/>
      <c r="H18" s="106" t="inlineStr">
        <is>
          <t>Active</t>
        </is>
      </c>
      <c r="I18" s="106" t="inlineStr"/>
      <c r="J18" s="107">
        <f>IF(B18="","",COUNTIF('Recruit Monitoring Tracker'!$E$9:$E$65, "*"&amp;B18&amp;"*"))</f>
        <v/>
      </c>
      <c r="K18" s="107">
        <f>IF(B18="","",COUNTIFS('Recruit Monitoring Tracker'!$E$9:$E$65, "*"&amp;B18&amp;"*", 'Recruit Monitoring Tracker'!$H$9:$H$65, "Yes"))</f>
        <v/>
      </c>
      <c r="L18" s="108">
        <f>IF(B18="","",COUNTIFS('Recruit Monitoring Tracker'!$E$9:$E$65, "*"&amp;B18&amp;"*", 'Recruit Monitoring Tracker'!$L$9:$L$65, "In Progress"))</f>
        <v/>
      </c>
      <c r="M18" s="108">
        <f>IF(B18="","",COUNTIFS('Recruit Monitoring Tracker'!$E$9:$E$65, "*"&amp;B18&amp;"*", 'Recruit Monitoring Tracker'!$L$9:$L$65, "Yes"))</f>
        <v/>
      </c>
      <c r="N18" s="105" t="inlineStr"/>
    </row>
    <row r="19" ht="20" customHeight="1">
      <c r="A19" s="97" t="inlineStr">
        <is>
          <t>AGT-011</t>
        </is>
      </c>
      <c r="B19" s="98" t="inlineStr"/>
      <c r="C19" s="99" t="inlineStr"/>
      <c r="D19" s="100" t="inlineStr"/>
      <c r="E19" s="99" t="inlineStr"/>
      <c r="F19" s="100" t="inlineStr"/>
      <c r="G19" s="99" t="inlineStr"/>
      <c r="H19" s="100" t="inlineStr">
        <is>
          <t>Active</t>
        </is>
      </c>
      <c r="I19" s="100" t="inlineStr"/>
      <c r="J19" s="101">
        <f>IF(B19="","",COUNTIF('Recruit Monitoring Tracker'!$E$9:$E$65, "*"&amp;B19&amp;"*"))</f>
        <v/>
      </c>
      <c r="K19" s="101">
        <f>IF(B19="","",COUNTIFS('Recruit Monitoring Tracker'!$E$9:$E$65, "*"&amp;B19&amp;"*", 'Recruit Monitoring Tracker'!$H$9:$H$65, "Yes"))</f>
        <v/>
      </c>
      <c r="L19" s="102">
        <f>IF(B19="","",COUNTIFS('Recruit Monitoring Tracker'!$E$9:$E$65, "*"&amp;B19&amp;"*", 'Recruit Monitoring Tracker'!$L$9:$L$65, "In Progress"))</f>
        <v/>
      </c>
      <c r="M19" s="102">
        <f>IF(B19="","",COUNTIFS('Recruit Monitoring Tracker'!$E$9:$E$65, "*"&amp;B19&amp;"*", 'Recruit Monitoring Tracker'!$L$9:$L$65, "Yes"))</f>
        <v/>
      </c>
      <c r="N19" s="99" t="inlineStr"/>
    </row>
    <row r="20" ht="20" customHeight="1">
      <c r="A20" s="103" t="inlineStr">
        <is>
          <t>AGT-012</t>
        </is>
      </c>
      <c r="B20" s="104" t="inlineStr"/>
      <c r="C20" s="105" t="inlineStr"/>
      <c r="D20" s="106" t="inlineStr"/>
      <c r="E20" s="105" t="inlineStr"/>
      <c r="F20" s="106" t="inlineStr"/>
      <c r="G20" s="105" t="inlineStr"/>
      <c r="H20" s="106" t="inlineStr">
        <is>
          <t>Active</t>
        </is>
      </c>
      <c r="I20" s="106" t="inlineStr"/>
      <c r="J20" s="107">
        <f>IF(B20="","",COUNTIF('Recruit Monitoring Tracker'!$E$9:$E$65, "*"&amp;B20&amp;"*"))</f>
        <v/>
      </c>
      <c r="K20" s="107">
        <f>IF(B20="","",COUNTIFS('Recruit Monitoring Tracker'!$E$9:$E$65, "*"&amp;B20&amp;"*", 'Recruit Monitoring Tracker'!$H$9:$H$65, "Yes"))</f>
        <v/>
      </c>
      <c r="L20" s="108">
        <f>IF(B20="","",COUNTIFS('Recruit Monitoring Tracker'!$E$9:$E$65, "*"&amp;B20&amp;"*", 'Recruit Monitoring Tracker'!$L$9:$L$65, "In Progress"))</f>
        <v/>
      </c>
      <c r="M20" s="108">
        <f>IF(B20="","",COUNTIFS('Recruit Monitoring Tracker'!$E$9:$E$65, "*"&amp;B20&amp;"*", 'Recruit Monitoring Tracker'!$L$9:$L$65, "Yes"))</f>
        <v/>
      </c>
      <c r="N20" s="105" t="inlineStr"/>
    </row>
    <row r="21" ht="20" customHeight="1">
      <c r="A21" s="97" t="inlineStr">
        <is>
          <t>AGT-013</t>
        </is>
      </c>
      <c r="B21" s="98" t="inlineStr"/>
      <c r="C21" s="99" t="inlineStr"/>
      <c r="D21" s="100" t="inlineStr"/>
      <c r="E21" s="99" t="inlineStr"/>
      <c r="F21" s="100" t="inlineStr"/>
      <c r="G21" s="99" t="inlineStr"/>
      <c r="H21" s="100" t="inlineStr">
        <is>
          <t>Active</t>
        </is>
      </c>
      <c r="I21" s="100" t="inlineStr"/>
      <c r="J21" s="101">
        <f>IF(B21="","",COUNTIF('Recruit Monitoring Tracker'!$E$9:$E$65, "*"&amp;B21&amp;"*"))</f>
        <v/>
      </c>
      <c r="K21" s="101">
        <f>IF(B21="","",COUNTIFS('Recruit Monitoring Tracker'!$E$9:$E$65, "*"&amp;B21&amp;"*", 'Recruit Monitoring Tracker'!$H$9:$H$65, "Yes"))</f>
        <v/>
      </c>
      <c r="L21" s="102">
        <f>IF(B21="","",COUNTIFS('Recruit Monitoring Tracker'!$E$9:$E$65, "*"&amp;B21&amp;"*", 'Recruit Monitoring Tracker'!$L$9:$L$65, "In Progress"))</f>
        <v/>
      </c>
      <c r="M21" s="102">
        <f>IF(B21="","",COUNTIFS('Recruit Monitoring Tracker'!$E$9:$E$65, "*"&amp;B21&amp;"*", 'Recruit Monitoring Tracker'!$L$9:$L$65, "Yes"))</f>
        <v/>
      </c>
      <c r="N21" s="99" t="inlineStr"/>
    </row>
    <row r="22" ht="20" customHeight="1">
      <c r="A22" s="103" t="inlineStr">
        <is>
          <t>AGT-014</t>
        </is>
      </c>
      <c r="B22" s="104" t="inlineStr"/>
      <c r="C22" s="105" t="inlineStr"/>
      <c r="D22" s="106" t="inlineStr"/>
      <c r="E22" s="105" t="inlineStr"/>
      <c r="F22" s="106" t="inlineStr"/>
      <c r="G22" s="105" t="inlineStr"/>
      <c r="H22" s="106" t="inlineStr">
        <is>
          <t>Active</t>
        </is>
      </c>
      <c r="I22" s="106" t="inlineStr"/>
      <c r="J22" s="107">
        <f>IF(B22="","",COUNTIF('Recruit Monitoring Tracker'!$E$9:$E$65, "*"&amp;B22&amp;"*"))</f>
        <v/>
      </c>
      <c r="K22" s="107">
        <f>IF(B22="","",COUNTIFS('Recruit Monitoring Tracker'!$E$9:$E$65, "*"&amp;B22&amp;"*", 'Recruit Monitoring Tracker'!$H$9:$H$65, "Yes"))</f>
        <v/>
      </c>
      <c r="L22" s="108">
        <f>IF(B22="","",COUNTIFS('Recruit Monitoring Tracker'!$E$9:$E$65, "*"&amp;B22&amp;"*", 'Recruit Monitoring Tracker'!$L$9:$L$65, "In Progress"))</f>
        <v/>
      </c>
      <c r="M22" s="108">
        <f>IF(B22="","",COUNTIFS('Recruit Monitoring Tracker'!$E$9:$E$65, "*"&amp;B22&amp;"*", 'Recruit Monitoring Tracker'!$L$9:$L$65, "Yes"))</f>
        <v/>
      </c>
      <c r="N22" s="105" t="inlineStr"/>
    </row>
    <row r="23" ht="20" customHeight="1">
      <c r="A23" s="97" t="inlineStr">
        <is>
          <t>AGT-015</t>
        </is>
      </c>
      <c r="B23" s="98" t="inlineStr"/>
      <c r="C23" s="99" t="inlineStr"/>
      <c r="D23" s="100" t="inlineStr"/>
      <c r="E23" s="99" t="inlineStr"/>
      <c r="F23" s="100" t="inlineStr"/>
      <c r="G23" s="99" t="inlineStr"/>
      <c r="H23" s="100" t="inlineStr">
        <is>
          <t>Active</t>
        </is>
      </c>
      <c r="I23" s="100" t="inlineStr"/>
      <c r="J23" s="101">
        <f>IF(B23="","",COUNTIF('Recruit Monitoring Tracker'!$E$9:$E$65, "*"&amp;B23&amp;"*"))</f>
        <v/>
      </c>
      <c r="K23" s="101">
        <f>IF(B23="","",COUNTIFS('Recruit Monitoring Tracker'!$E$9:$E$65, "*"&amp;B23&amp;"*", 'Recruit Monitoring Tracker'!$H$9:$H$65, "Yes"))</f>
        <v/>
      </c>
      <c r="L23" s="102">
        <f>IF(B23="","",COUNTIFS('Recruit Monitoring Tracker'!$E$9:$E$65, "*"&amp;B23&amp;"*", 'Recruit Monitoring Tracker'!$L$9:$L$65, "In Progress"))</f>
        <v/>
      </c>
      <c r="M23" s="102">
        <f>IF(B23="","",COUNTIFS('Recruit Monitoring Tracker'!$E$9:$E$65, "*"&amp;B23&amp;"*", 'Recruit Monitoring Tracker'!$L$9:$L$65, "Yes"))</f>
        <v/>
      </c>
      <c r="N23" s="99" t="inlineStr"/>
    </row>
    <row r="24" ht="20" customHeight="1">
      <c r="A24" s="103" t="inlineStr">
        <is>
          <t>AGT-016</t>
        </is>
      </c>
      <c r="B24" s="104" t="inlineStr"/>
      <c r="C24" s="105" t="inlineStr"/>
      <c r="D24" s="106" t="inlineStr"/>
      <c r="E24" s="105" t="inlineStr"/>
      <c r="F24" s="106" t="inlineStr"/>
      <c r="G24" s="105" t="inlineStr"/>
      <c r="H24" s="106" t="inlineStr">
        <is>
          <t>Active</t>
        </is>
      </c>
      <c r="I24" s="106" t="inlineStr"/>
      <c r="J24" s="107">
        <f>IF(B24="","",COUNTIF('Recruit Monitoring Tracker'!$E$9:$E$65, "*"&amp;B24&amp;"*"))</f>
        <v/>
      </c>
      <c r="K24" s="107">
        <f>IF(B24="","",COUNTIFS('Recruit Monitoring Tracker'!$E$9:$E$65, "*"&amp;B24&amp;"*", 'Recruit Monitoring Tracker'!$H$9:$H$65, "Yes"))</f>
        <v/>
      </c>
      <c r="L24" s="108">
        <f>IF(B24="","",COUNTIFS('Recruit Monitoring Tracker'!$E$9:$E$65, "*"&amp;B24&amp;"*", 'Recruit Monitoring Tracker'!$L$9:$L$65, "In Progress"))</f>
        <v/>
      </c>
      <c r="M24" s="108">
        <f>IF(B24="","",COUNTIFS('Recruit Monitoring Tracker'!$E$9:$E$65, "*"&amp;B24&amp;"*", 'Recruit Monitoring Tracker'!$L$9:$L$65, "Yes"))</f>
        <v/>
      </c>
      <c r="N24" s="105" t="inlineStr"/>
    </row>
    <row r="25" ht="20" customHeight="1">
      <c r="A25" s="97" t="inlineStr">
        <is>
          <t>AGT-017</t>
        </is>
      </c>
      <c r="B25" s="98" t="inlineStr"/>
      <c r="C25" s="99" t="inlineStr"/>
      <c r="D25" s="100" t="inlineStr"/>
      <c r="E25" s="99" t="inlineStr"/>
      <c r="F25" s="100" t="inlineStr"/>
      <c r="G25" s="99" t="inlineStr"/>
      <c r="H25" s="100" t="inlineStr">
        <is>
          <t>Active</t>
        </is>
      </c>
      <c r="I25" s="100" t="inlineStr"/>
      <c r="J25" s="101">
        <f>IF(B25="","",COUNTIF('Recruit Monitoring Tracker'!$E$9:$E$65, "*"&amp;B25&amp;"*"))</f>
        <v/>
      </c>
      <c r="K25" s="101">
        <f>IF(B25="","",COUNTIFS('Recruit Monitoring Tracker'!$E$9:$E$65, "*"&amp;B25&amp;"*", 'Recruit Monitoring Tracker'!$H$9:$H$65, "Yes"))</f>
        <v/>
      </c>
      <c r="L25" s="102">
        <f>IF(B25="","",COUNTIFS('Recruit Monitoring Tracker'!$E$9:$E$65, "*"&amp;B25&amp;"*", 'Recruit Monitoring Tracker'!$L$9:$L$65, "In Progress"))</f>
        <v/>
      </c>
      <c r="M25" s="102">
        <f>IF(B25="","",COUNTIFS('Recruit Monitoring Tracker'!$E$9:$E$65, "*"&amp;B25&amp;"*", 'Recruit Monitoring Tracker'!$L$9:$L$65, "Yes"))</f>
        <v/>
      </c>
      <c r="N25" s="99" t="inlineStr"/>
    </row>
    <row r="26" ht="20" customHeight="1">
      <c r="A26" s="103" t="inlineStr">
        <is>
          <t>AGT-018</t>
        </is>
      </c>
      <c r="B26" s="104" t="inlineStr"/>
      <c r="C26" s="105" t="inlineStr"/>
      <c r="D26" s="106" t="inlineStr"/>
      <c r="E26" s="105" t="inlineStr"/>
      <c r="F26" s="106" t="inlineStr"/>
      <c r="G26" s="105" t="inlineStr"/>
      <c r="H26" s="106" t="inlineStr">
        <is>
          <t>Active</t>
        </is>
      </c>
      <c r="I26" s="106" t="inlineStr"/>
      <c r="J26" s="107">
        <f>IF(B26="","",COUNTIF('Recruit Monitoring Tracker'!$E$9:$E$65, "*"&amp;B26&amp;"*"))</f>
        <v/>
      </c>
      <c r="K26" s="107">
        <f>IF(B26="","",COUNTIFS('Recruit Monitoring Tracker'!$E$9:$E$65, "*"&amp;B26&amp;"*", 'Recruit Monitoring Tracker'!$H$9:$H$65, "Yes"))</f>
        <v/>
      </c>
      <c r="L26" s="108">
        <f>IF(B26="","",COUNTIFS('Recruit Monitoring Tracker'!$E$9:$E$65, "*"&amp;B26&amp;"*", 'Recruit Monitoring Tracker'!$L$9:$L$65, "In Progress"))</f>
        <v/>
      </c>
      <c r="M26" s="108">
        <f>IF(B26="","",COUNTIFS('Recruit Monitoring Tracker'!$E$9:$E$65, "*"&amp;B26&amp;"*", 'Recruit Monitoring Tracker'!$L$9:$L$65, "Yes"))</f>
        <v/>
      </c>
      <c r="N26" s="105" t="inlineStr"/>
    </row>
    <row r="27" ht="20" customHeight="1">
      <c r="A27" s="97" t="inlineStr">
        <is>
          <t>AGT-019</t>
        </is>
      </c>
      <c r="B27" s="98" t="inlineStr"/>
      <c r="C27" s="99" t="inlineStr"/>
      <c r="D27" s="100" t="inlineStr"/>
      <c r="E27" s="99" t="inlineStr"/>
      <c r="F27" s="100" t="inlineStr"/>
      <c r="G27" s="99" t="inlineStr"/>
      <c r="H27" s="100" t="inlineStr">
        <is>
          <t>Active</t>
        </is>
      </c>
      <c r="I27" s="100" t="inlineStr"/>
      <c r="J27" s="101">
        <f>IF(B27="","",COUNTIF('Recruit Monitoring Tracker'!$E$9:$E$65, "*"&amp;B27&amp;"*"))</f>
        <v/>
      </c>
      <c r="K27" s="101">
        <f>IF(B27="","",COUNTIFS('Recruit Monitoring Tracker'!$E$9:$E$65, "*"&amp;B27&amp;"*", 'Recruit Monitoring Tracker'!$H$9:$H$65, "Yes"))</f>
        <v/>
      </c>
      <c r="L27" s="102">
        <f>IF(B27="","",COUNTIFS('Recruit Monitoring Tracker'!$E$9:$E$65, "*"&amp;B27&amp;"*", 'Recruit Monitoring Tracker'!$L$9:$L$65, "In Progress"))</f>
        <v/>
      </c>
      <c r="M27" s="102">
        <f>IF(B27="","",COUNTIFS('Recruit Monitoring Tracker'!$E$9:$E$65, "*"&amp;B27&amp;"*", 'Recruit Monitoring Tracker'!$L$9:$L$65, "Yes"))</f>
        <v/>
      </c>
      <c r="N27" s="99" t="inlineStr"/>
    </row>
    <row r="28" ht="20" customHeight="1">
      <c r="A28" s="103" t="inlineStr">
        <is>
          <t>AGT-020</t>
        </is>
      </c>
      <c r="B28" s="104" t="inlineStr"/>
      <c r="C28" s="105" t="inlineStr"/>
      <c r="D28" s="106" t="inlineStr"/>
      <c r="E28" s="105" t="inlineStr"/>
      <c r="F28" s="106" t="inlineStr"/>
      <c r="G28" s="105" t="inlineStr"/>
      <c r="H28" s="106" t="inlineStr">
        <is>
          <t>Active</t>
        </is>
      </c>
      <c r="I28" s="106" t="inlineStr"/>
      <c r="J28" s="107">
        <f>IF(B28="","",COUNTIF('Recruit Monitoring Tracker'!$E$9:$E$65, "*"&amp;B28&amp;"*"))</f>
        <v/>
      </c>
      <c r="K28" s="107">
        <f>IF(B28="","",COUNTIFS('Recruit Monitoring Tracker'!$E$9:$E$65, "*"&amp;B28&amp;"*", 'Recruit Monitoring Tracker'!$H$9:$H$65, "Yes"))</f>
        <v/>
      </c>
      <c r="L28" s="108">
        <f>IF(B28="","",COUNTIFS('Recruit Monitoring Tracker'!$E$9:$E$65, "*"&amp;B28&amp;"*", 'Recruit Monitoring Tracker'!$L$9:$L$65, "In Progress"))</f>
        <v/>
      </c>
      <c r="M28" s="108">
        <f>IF(B28="","",COUNTIFS('Recruit Monitoring Tracker'!$E$9:$E$65, "*"&amp;B28&amp;"*", 'Recruit Monitoring Tracker'!$L$9:$L$65, "Yes"))</f>
        <v/>
      </c>
      <c r="N28" s="105" t="inlineStr"/>
    </row>
    <row r="29" ht="20" customHeight="1">
      <c r="A29" s="97" t="inlineStr">
        <is>
          <t>AGT-021</t>
        </is>
      </c>
      <c r="B29" s="98" t="inlineStr"/>
      <c r="C29" s="99" t="inlineStr"/>
      <c r="D29" s="100" t="inlineStr"/>
      <c r="E29" s="99" t="inlineStr"/>
      <c r="F29" s="100" t="inlineStr"/>
      <c r="G29" s="99" t="inlineStr"/>
      <c r="H29" s="100" t="inlineStr">
        <is>
          <t>Active</t>
        </is>
      </c>
      <c r="I29" s="100" t="inlineStr"/>
      <c r="J29" s="101">
        <f>IF(B29="","",COUNTIF('Recruit Monitoring Tracker'!$E$9:$E$65, "*"&amp;B29&amp;"*"))</f>
        <v/>
      </c>
      <c r="K29" s="101">
        <f>IF(B29="","",COUNTIFS('Recruit Monitoring Tracker'!$E$9:$E$65, "*"&amp;B29&amp;"*", 'Recruit Monitoring Tracker'!$H$9:$H$65, "Yes"))</f>
        <v/>
      </c>
      <c r="L29" s="102">
        <f>IF(B29="","",COUNTIFS('Recruit Monitoring Tracker'!$E$9:$E$65, "*"&amp;B29&amp;"*", 'Recruit Monitoring Tracker'!$L$9:$L$65, "In Progress"))</f>
        <v/>
      </c>
      <c r="M29" s="102">
        <f>IF(B29="","",COUNTIFS('Recruit Monitoring Tracker'!$E$9:$E$65, "*"&amp;B29&amp;"*", 'Recruit Monitoring Tracker'!$L$9:$L$65, "Yes"))</f>
        <v/>
      </c>
      <c r="N29" s="99" t="inlineStr"/>
    </row>
    <row r="30" ht="20" customHeight="1">
      <c r="A30" s="103" t="inlineStr">
        <is>
          <t>AGT-022</t>
        </is>
      </c>
      <c r="B30" s="104" t="inlineStr"/>
      <c r="C30" s="105" t="inlineStr"/>
      <c r="D30" s="106" t="inlineStr"/>
      <c r="E30" s="105" t="inlineStr"/>
      <c r="F30" s="106" t="inlineStr"/>
      <c r="G30" s="105" t="inlineStr"/>
      <c r="H30" s="106" t="inlineStr">
        <is>
          <t>Active</t>
        </is>
      </c>
      <c r="I30" s="106" t="inlineStr"/>
      <c r="J30" s="107">
        <f>IF(B30="","",COUNTIF('Recruit Monitoring Tracker'!$E$9:$E$65, "*"&amp;B30&amp;"*"))</f>
        <v/>
      </c>
      <c r="K30" s="107">
        <f>IF(B30="","",COUNTIFS('Recruit Monitoring Tracker'!$E$9:$E$65, "*"&amp;B30&amp;"*", 'Recruit Monitoring Tracker'!$H$9:$H$65, "Yes"))</f>
        <v/>
      </c>
      <c r="L30" s="108">
        <f>IF(B30="","",COUNTIFS('Recruit Monitoring Tracker'!$E$9:$E$65, "*"&amp;B30&amp;"*", 'Recruit Monitoring Tracker'!$L$9:$L$65, "In Progress"))</f>
        <v/>
      </c>
      <c r="M30" s="108">
        <f>IF(B30="","",COUNTIFS('Recruit Monitoring Tracker'!$E$9:$E$65, "*"&amp;B30&amp;"*", 'Recruit Monitoring Tracker'!$L$9:$L$65, "Yes"))</f>
        <v/>
      </c>
      <c r="N30" s="105" t="inlineStr"/>
    </row>
    <row r="31" ht="20" customHeight="1">
      <c r="A31" s="97" t="inlineStr">
        <is>
          <t>AGT-023</t>
        </is>
      </c>
      <c r="B31" s="98" t="inlineStr"/>
      <c r="C31" s="99" t="inlineStr"/>
      <c r="D31" s="100" t="inlineStr"/>
      <c r="E31" s="99" t="inlineStr"/>
      <c r="F31" s="100" t="inlineStr"/>
      <c r="G31" s="99" t="inlineStr"/>
      <c r="H31" s="100" t="inlineStr">
        <is>
          <t>Active</t>
        </is>
      </c>
      <c r="I31" s="100" t="inlineStr"/>
      <c r="J31" s="101">
        <f>IF(B31="","",COUNTIF('Recruit Monitoring Tracker'!$E$9:$E$65, "*"&amp;B31&amp;"*"))</f>
        <v/>
      </c>
      <c r="K31" s="101">
        <f>IF(B31="","",COUNTIFS('Recruit Monitoring Tracker'!$E$9:$E$65, "*"&amp;B31&amp;"*", 'Recruit Monitoring Tracker'!$H$9:$H$65, "Yes"))</f>
        <v/>
      </c>
      <c r="L31" s="102">
        <f>IF(B31="","",COUNTIFS('Recruit Monitoring Tracker'!$E$9:$E$65, "*"&amp;B31&amp;"*", 'Recruit Monitoring Tracker'!$L$9:$L$65, "In Progress"))</f>
        <v/>
      </c>
      <c r="M31" s="102">
        <f>IF(B31="","",COUNTIFS('Recruit Monitoring Tracker'!$E$9:$E$65, "*"&amp;B31&amp;"*", 'Recruit Monitoring Tracker'!$L$9:$L$65, "Yes"))</f>
        <v/>
      </c>
      <c r="N31" s="99" t="inlineStr"/>
    </row>
    <row r="32" ht="20" customHeight="1">
      <c r="A32" s="103" t="inlineStr">
        <is>
          <t>AGT-024</t>
        </is>
      </c>
      <c r="B32" s="104" t="inlineStr"/>
      <c r="C32" s="105" t="inlineStr"/>
      <c r="D32" s="106" t="inlineStr"/>
      <c r="E32" s="105" t="inlineStr"/>
      <c r="F32" s="106" t="inlineStr"/>
      <c r="G32" s="105" t="inlineStr"/>
      <c r="H32" s="106" t="inlineStr">
        <is>
          <t>Active</t>
        </is>
      </c>
      <c r="I32" s="106" t="inlineStr"/>
      <c r="J32" s="107">
        <f>IF(B32="","",COUNTIF('Recruit Monitoring Tracker'!$E$9:$E$65, "*"&amp;B32&amp;"*"))</f>
        <v/>
      </c>
      <c r="K32" s="107">
        <f>IF(B32="","",COUNTIFS('Recruit Monitoring Tracker'!$E$9:$E$65, "*"&amp;B32&amp;"*", 'Recruit Monitoring Tracker'!$H$9:$H$65, "Yes"))</f>
        <v/>
      </c>
      <c r="L32" s="108">
        <f>IF(B32="","",COUNTIFS('Recruit Monitoring Tracker'!$E$9:$E$65, "*"&amp;B32&amp;"*", 'Recruit Monitoring Tracker'!$L$9:$L$65, "In Progress"))</f>
        <v/>
      </c>
      <c r="M32" s="108">
        <f>IF(B32="","",COUNTIFS('Recruit Monitoring Tracker'!$E$9:$E$65, "*"&amp;B32&amp;"*", 'Recruit Monitoring Tracker'!$L$9:$L$65, "Yes"))</f>
        <v/>
      </c>
      <c r="N32" s="105" t="inlineStr"/>
    </row>
    <row r="33" ht="20" customHeight="1">
      <c r="A33" s="97" t="inlineStr">
        <is>
          <t>AGT-025</t>
        </is>
      </c>
      <c r="B33" s="98" t="inlineStr"/>
      <c r="C33" s="99" t="inlineStr"/>
      <c r="D33" s="100" t="inlineStr"/>
      <c r="E33" s="99" t="inlineStr"/>
      <c r="F33" s="100" t="inlineStr"/>
      <c r="G33" s="99" t="inlineStr"/>
      <c r="H33" s="100" t="inlineStr">
        <is>
          <t>Active</t>
        </is>
      </c>
      <c r="I33" s="100" t="inlineStr"/>
      <c r="J33" s="101">
        <f>IF(B33="","",COUNTIF('Recruit Monitoring Tracker'!$E$9:$E$65, "*"&amp;B33&amp;"*"))</f>
        <v/>
      </c>
      <c r="K33" s="101">
        <f>IF(B33="","",COUNTIFS('Recruit Monitoring Tracker'!$E$9:$E$65, "*"&amp;B33&amp;"*", 'Recruit Monitoring Tracker'!$H$9:$H$65, "Yes"))</f>
        <v/>
      </c>
      <c r="L33" s="102">
        <f>IF(B33="","",COUNTIFS('Recruit Monitoring Tracker'!$E$9:$E$65, "*"&amp;B33&amp;"*", 'Recruit Monitoring Tracker'!$L$9:$L$65, "In Progress"))</f>
        <v/>
      </c>
      <c r="M33" s="102">
        <f>IF(B33="","",COUNTIFS('Recruit Monitoring Tracker'!$E$9:$E$65, "*"&amp;B33&amp;"*", 'Recruit Monitoring Tracker'!$L$9:$L$65, "Yes"))</f>
        <v/>
      </c>
      <c r="N33" s="99" t="inlineStr"/>
    </row>
    <row r="34" ht="20" customHeight="1">
      <c r="A34" s="103" t="inlineStr">
        <is>
          <t>AGT-026</t>
        </is>
      </c>
      <c r="B34" s="104" t="inlineStr"/>
      <c r="C34" s="105" t="inlineStr"/>
      <c r="D34" s="106" t="inlineStr"/>
      <c r="E34" s="105" t="inlineStr"/>
      <c r="F34" s="106" t="inlineStr"/>
      <c r="G34" s="105" t="inlineStr"/>
      <c r="H34" s="106" t="inlineStr">
        <is>
          <t>Active</t>
        </is>
      </c>
      <c r="I34" s="106" t="inlineStr"/>
      <c r="J34" s="107">
        <f>IF(B34="","",COUNTIF('Recruit Monitoring Tracker'!$E$9:$E$65, "*"&amp;B34&amp;"*"))</f>
        <v/>
      </c>
      <c r="K34" s="107">
        <f>IF(B34="","",COUNTIFS('Recruit Monitoring Tracker'!$E$9:$E$65, "*"&amp;B34&amp;"*", 'Recruit Monitoring Tracker'!$H$9:$H$65, "Yes"))</f>
        <v/>
      </c>
      <c r="L34" s="108">
        <f>IF(B34="","",COUNTIFS('Recruit Monitoring Tracker'!$E$9:$E$65, "*"&amp;B34&amp;"*", 'Recruit Monitoring Tracker'!$L$9:$L$65, "In Progress"))</f>
        <v/>
      </c>
      <c r="M34" s="108">
        <f>IF(B34="","",COUNTIFS('Recruit Monitoring Tracker'!$E$9:$E$65, "*"&amp;B34&amp;"*", 'Recruit Monitoring Tracker'!$L$9:$L$65, "Yes"))</f>
        <v/>
      </c>
      <c r="N34" s="105" t="inlineStr"/>
    </row>
    <row r="35" ht="20" customHeight="1">
      <c r="A35" s="97" t="inlineStr">
        <is>
          <t>AGT-027</t>
        </is>
      </c>
      <c r="B35" s="98" t="inlineStr"/>
      <c r="C35" s="99" t="inlineStr"/>
      <c r="D35" s="100" t="inlineStr"/>
      <c r="E35" s="99" t="inlineStr"/>
      <c r="F35" s="100" t="inlineStr"/>
      <c r="G35" s="99" t="inlineStr"/>
      <c r="H35" s="100" t="inlineStr">
        <is>
          <t>Active</t>
        </is>
      </c>
      <c r="I35" s="100" t="inlineStr"/>
      <c r="J35" s="101">
        <f>IF(B35="","",COUNTIF('Recruit Monitoring Tracker'!$E$9:$E$65, "*"&amp;B35&amp;"*"))</f>
        <v/>
      </c>
      <c r="K35" s="101">
        <f>IF(B35="","",COUNTIFS('Recruit Monitoring Tracker'!$E$9:$E$65, "*"&amp;B35&amp;"*", 'Recruit Monitoring Tracker'!$H$9:$H$65, "Yes"))</f>
        <v/>
      </c>
      <c r="L35" s="102">
        <f>IF(B35="","",COUNTIFS('Recruit Monitoring Tracker'!$E$9:$E$65, "*"&amp;B35&amp;"*", 'Recruit Monitoring Tracker'!$L$9:$L$65, "In Progress"))</f>
        <v/>
      </c>
      <c r="M35" s="102">
        <f>IF(B35="","",COUNTIFS('Recruit Monitoring Tracker'!$E$9:$E$65, "*"&amp;B35&amp;"*", 'Recruit Monitoring Tracker'!$L$9:$L$65, "Yes"))</f>
        <v/>
      </c>
      <c r="N35" s="99" t="inlineStr"/>
    </row>
  </sheetData>
  <mergeCells count="14">
    <mergeCell ref="H6:J6"/>
    <mergeCell ref="B5:D5"/>
    <mergeCell ref="E5:G5"/>
    <mergeCell ref="K4:M4"/>
    <mergeCell ref="H5:J5"/>
    <mergeCell ref="A2:N2"/>
    <mergeCell ref="B4:D4"/>
    <mergeCell ref="H4:J4"/>
    <mergeCell ref="K5:M5"/>
    <mergeCell ref="K6:M6"/>
    <mergeCell ref="E4:G4"/>
    <mergeCell ref="B6:D6"/>
    <mergeCell ref="E6:G6"/>
    <mergeCell ref="A1:N1"/>
  </mergeCells>
  <dataValidations count="1">
    <dataValidation sqref="H9:H35" showDropDown="0" showInputMessage="0" showErrorMessage="0" allowBlank="1" type="list">
      <formula1>"Active,Inactive,On Leave,Pending Verification"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2026-09-17T03:24:27Z</dcterms:created>
  <dcterms:modified xsi:type="dcterms:W3CDTF">2026-09-17T03:24:27Z</dcterms:modified>
</cp:coreProperties>
</file>